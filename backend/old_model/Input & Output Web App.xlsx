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zer\Downloads\"/>
    </mc:Choice>
  </mc:AlternateContent>
  <xr:revisionPtr revIDLastSave="0" documentId="13_ncr:1_{3DA09813-3970-4069-AD79-E6B9842554F4}" xr6:coauthVersionLast="47" xr6:coauthVersionMax="47" xr10:uidLastSave="{00000000-0000-0000-0000-000000000000}"/>
  <bookViews>
    <workbookView xWindow="-108" yWindow="-108" windowWidth="23256" windowHeight="12456" xr2:uid="{83610FCE-EC13-4A9D-BAD0-D18F38FB95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2" i="1" l="1"/>
  <c r="C41" i="1"/>
  <c r="C40" i="1"/>
  <c r="C39" i="1"/>
  <c r="C38" i="1"/>
  <c r="U32" i="1"/>
  <c r="U31" i="1"/>
  <c r="U29" i="1"/>
  <c r="U30" i="1"/>
  <c r="U28" i="1"/>
  <c r="W29" i="1"/>
  <c r="W30" i="1"/>
  <c r="W31" i="1"/>
  <c r="W32" i="1"/>
  <c r="W28" i="1"/>
  <c r="C32" i="1"/>
  <c r="C31" i="1"/>
  <c r="C30" i="1"/>
  <c r="C29" i="1"/>
  <c r="C28" i="1"/>
</calcChain>
</file>

<file path=xl/sharedStrings.xml><?xml version="1.0" encoding="utf-8"?>
<sst xmlns="http://schemas.openxmlformats.org/spreadsheetml/2006/main" count="145" uniqueCount="79">
  <si>
    <t>Parameter</t>
  </si>
  <si>
    <t>No</t>
  </si>
  <si>
    <t>WUG &amp; WUV</t>
  </si>
  <si>
    <t xml:space="preserve">Input </t>
  </si>
  <si>
    <t>Density (g/cm3)</t>
  </si>
  <si>
    <t>VSA (m2/cm3)</t>
  </si>
  <si>
    <t>GSA (m2/g)</t>
  </si>
  <si>
    <t>LCD (Å)</t>
  </si>
  <si>
    <t>PLD (Å)</t>
  </si>
  <si>
    <t>VF</t>
  </si>
  <si>
    <t>PV (cm3/g)</t>
  </si>
  <si>
    <t>WUG (%wt)</t>
  </si>
  <si>
    <t>WUV (g/L)</t>
  </si>
  <si>
    <t>Output</t>
  </si>
  <si>
    <t>Harga MOF</t>
  </si>
  <si>
    <t>Energi Sintesis</t>
  </si>
  <si>
    <t>3.1</t>
  </si>
  <si>
    <t>Qheat</t>
  </si>
  <si>
    <t>FATQID</t>
  </si>
  <si>
    <t>NAWXER</t>
  </si>
  <si>
    <t>VOLPET</t>
  </si>
  <si>
    <t>YAVWUQ</t>
  </si>
  <si>
    <t>YUGLES</t>
  </si>
  <si>
    <t>Toperasi (K)</t>
  </si>
  <si>
    <t>Cp linker 1 (J/mol.K)</t>
  </si>
  <si>
    <t>Solvent</t>
  </si>
  <si>
    <t>Additive</t>
  </si>
  <si>
    <t>Modulator</t>
  </si>
  <si>
    <t>Name</t>
  </si>
  <si>
    <t>Mass (g)</t>
  </si>
  <si>
    <t>DMF</t>
  </si>
  <si>
    <t>Time (h)</t>
  </si>
  <si>
    <t>EtOH</t>
  </si>
  <si>
    <t>MeCN</t>
  </si>
  <si>
    <t>DMSO</t>
  </si>
  <si>
    <t>HNO3</t>
  </si>
  <si>
    <t>HCl</t>
  </si>
  <si>
    <t xml:space="preserve">Metal </t>
  </si>
  <si>
    <t>Linker</t>
  </si>
  <si>
    <t>SMILES</t>
  </si>
  <si>
    <t>CuSO₄·5H₂O</t>
  </si>
  <si>
    <t>Zn(NO₃)₂·6H₂O</t>
  </si>
  <si>
    <t>Cu(NO₃)₂·2.5H₂O</t>
  </si>
  <si>
    <t>Cu(NO₃)₂·3H₂O</t>
  </si>
  <si>
    <t>Qloss</t>
  </si>
  <si>
    <t>Estirr</t>
  </si>
  <si>
    <t>Qheat (MJ)</t>
  </si>
  <si>
    <t>Qloss (MJ)</t>
  </si>
  <si>
    <t>Estirr (MJ)</t>
  </si>
  <si>
    <t>E tot (MJ)</t>
  </si>
  <si>
    <t>Energi Sensible (J)</t>
  </si>
  <si>
    <t>Metal</t>
  </si>
  <si>
    <t>Total Sensible Energy</t>
  </si>
  <si>
    <t>Volume (mL)</t>
  </si>
  <si>
    <t>C(=O)(O)C1=CC=C(C=C1)C=1C=NC=C(C1)C1=CC=C(C=C1)C(=O)O</t>
  </si>
  <si>
    <t>Mass (mg)</t>
  </si>
  <si>
    <t>C(=O)(O)C1=CC=C(C=C1)C=1C(=NC(=C(N1)C1=CC=C(C=C1)C(=O)O)C1=CC=C(C=C1)C(=O)O)C1=CC=C(C(=O)O)C=C1</t>
  </si>
  <si>
    <t>S1C(=CC=C1C(=O)O)C(=O)O</t>
  </si>
  <si>
    <t>C(=O)O</t>
  </si>
  <si>
    <t>C(#CC=1C=C(C=C(C(=O)O)C1)C(=O)O)C=1C=C(C=C(C(=O)O)C1)C(=O)O</t>
  </si>
  <si>
    <t>Density Total</t>
  </si>
  <si>
    <t>Input</t>
  </si>
  <si>
    <t>Product</t>
  </si>
  <si>
    <t>MOF Price (USD/kg)</t>
  </si>
  <si>
    <t>H2 Specific Storage Cost (USD/kg H2)</t>
  </si>
  <si>
    <t>3.2</t>
  </si>
  <si>
    <t>3.3</t>
  </si>
  <si>
    <t>Stabilitas MOF</t>
  </si>
  <si>
    <t>File xyz/cif Linker 1 Embed After UFF</t>
  </si>
  <si>
    <t>File xyz/cif Linker 2 Embed After UFF</t>
  </si>
  <si>
    <t>File xyz/cif Linker 3 Embed After UFF</t>
  </si>
  <si>
    <t>File xyz/cif Linker 4 Embed After UFF</t>
  </si>
  <si>
    <t>File xyz/cif Linker 5 Embed After UFF</t>
  </si>
  <si>
    <t>**File ada di gdrive</t>
  </si>
  <si>
    <t>Energi konformasi linker (kcal/mol)</t>
  </si>
  <si>
    <t>RMSD Final (A)</t>
  </si>
  <si>
    <t>ME delta length (A)</t>
  </si>
  <si>
    <t>ME delta angle (deg)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</si>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</sst>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#,##0.0000"/>
  </numFmts>
  <fonts count="2" x14ac:knownFonts="1">
    <font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0" fillId="0" borderId="2" xfId="0" applyBorder="1"/>
    <xf numFmtId="0" fontId="0" fillId="0" borderId="3" xfId="0" applyBorder="1"/>
    <xf numFmtId="164" fontId="0" fillId="0" borderId="0" xfId="0" applyNumberFormat="1"/>
    <xf numFmtId="0" fontId="0" fillId="0" borderId="1" xfId="0" applyBorder="1" applyAlignment="1">
      <alignment horizontal="center"/>
    </xf>
    <xf numFmtId="0" fontId="1" fillId="0" borderId="0" xfId="0" applyFont="1"/>
    <xf numFmtId="165" fontId="0" fillId="0" borderId="0" xfId="0" applyNumberFormat="1"/>
    <xf numFmtId="0" fontId="1" fillId="0" borderId="1" xfId="0" applyFont="1" applyBorder="1"/>
    <xf numFmtId="0" fontId="0" fillId="0" borderId="4" xfId="0" applyBorder="1"/>
    <xf numFmtId="0" fontId="1" fillId="0" borderId="4" xfId="0" applyFont="1" applyBorder="1"/>
    <xf numFmtId="0" fontId="0" fillId="2" borderId="0" xfId="0" applyFill="1"/>
    <xf numFmtId="0" fontId="0" fillId="3" borderId="0" xfId="0" applyFill="1"/>
    <xf numFmtId="164" fontId="0" fillId="0" borderId="1" xfId="0" applyNumberFormat="1" applyBorder="1"/>
    <xf numFmtId="165" fontId="0" fillId="0" borderId="1" xfId="0" applyNumberFormat="1" applyBorder="1"/>
    <xf numFmtId="0" fontId="0" fillId="0" borderId="5" xfId="0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59531</xdr:colOff>
      <xdr:row>22</xdr:row>
      <xdr:rowOff>47625</xdr:rowOff>
    </xdr:from>
    <xdr:to>
      <xdr:col>4</xdr:col>
      <xdr:colOff>166741</xdr:colOff>
      <xdr:row>23</xdr:row>
      <xdr:rowOff>142839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1103F2-C169-4B8D-A913-6B2349983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714625"/>
          <a:ext cx="2285714" cy="2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547688</xdr:colOff>
      <xdr:row>22</xdr:row>
      <xdr:rowOff>11906</xdr:rowOff>
    </xdr:from>
    <xdr:to>
      <xdr:col>8</xdr:col>
      <xdr:colOff>419675</xdr:colOff>
      <xdr:row>23</xdr:row>
      <xdr:rowOff>97596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0277D2-F6ED-4D7F-948C-59BDDF09F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2782" y="2678906"/>
          <a:ext cx="3028571" cy="276190"/>
        </a:xfrm>
        <a:prstGeom prst="rect">
          <a:avLst/>
        </a:prstGeom>
      </xdr:spPr>
    </xdr:pic>
    <xdr:clientData/>
  </xdr:twoCellAnchor>
  <xdr:twoCellAnchor editAs="oneCell">
    <xdr:from>
      <xdr:col>10</xdr:col>
      <xdr:colOff>214313</xdr:colOff>
      <xdr:row>21</xdr:row>
      <xdr:rowOff>142874</xdr:rowOff>
    </xdr:from>
    <xdr:to>
      <xdr:col>12</xdr:col>
      <xdr:colOff>95113</xdr:colOff>
      <xdr:row>23</xdr:row>
      <xdr:rowOff>152351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0B2482-40D7-47B5-96BE-1370C7A9E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70688" y="3571874"/>
          <a:ext cx="1087300" cy="3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D3AD-1540-4E9B-9AC5-00EF798FAA8D}">
  <dimension ref="A2:X61"/>
  <sheetViews>
    <sheetView tabSelected="1" topLeftCell="L13" zoomScale="85" zoomScaleNormal="35" workbookViewId="0">
      <selection activeCell="J28" sqref="J28"/>
    </sheetView>
  </sheetViews>
  <sheetFormatPr defaultRowHeight="14.4" x14ac:dyDescent="0.3"/>
  <cols>
    <col min="2" max="2" width="12.5546875" customWidth="1"/>
    <col min="3" max="3" width="10.77734375" customWidth="1"/>
    <col min="5" max="5" width="13.44140625" bestFit="1" customWidth="1"/>
    <col min="7" max="7" width="9.88671875" customWidth="1"/>
    <col min="8" max="8" width="14.44140625" customWidth="1"/>
    <col min="10" max="10" width="30.6640625" customWidth="1"/>
    <col min="14" max="14" width="19" customWidth="1"/>
    <col min="15" max="15" width="31.88671875" customWidth="1"/>
    <col min="16" max="16" width="10.88671875" bestFit="1" customWidth="1"/>
    <col min="18" max="18" width="16" customWidth="1"/>
    <col min="20" max="20" width="11" customWidth="1"/>
    <col min="21" max="21" width="21.88671875" customWidth="1"/>
    <col min="22" max="22" width="10.6640625" customWidth="1"/>
    <col min="23" max="23" width="11" customWidth="1"/>
    <col min="24" max="24" width="11.5546875" bestFit="1" customWidth="1"/>
  </cols>
  <sheetData>
    <row r="2" spans="1:15" x14ac:dyDescent="0.3">
      <c r="A2" t="s">
        <v>1</v>
      </c>
      <c r="B2" t="s">
        <v>0</v>
      </c>
      <c r="E2" s="21" t="s">
        <v>3</v>
      </c>
      <c r="F2" s="21"/>
      <c r="G2" s="21"/>
      <c r="H2" s="21"/>
      <c r="I2" s="21"/>
      <c r="J2" s="21"/>
      <c r="K2" s="21"/>
      <c r="L2" s="21" t="s">
        <v>13</v>
      </c>
      <c r="M2" s="21"/>
    </row>
    <row r="3" spans="1:15" x14ac:dyDescent="0.3">
      <c r="A3" s="13">
        <v>1</v>
      </c>
      <c r="B3" s="13" t="s">
        <v>2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5" t="s">
        <v>10</v>
      </c>
      <c r="L3" s="2" t="s">
        <v>11</v>
      </c>
      <c r="M3" s="2" t="s">
        <v>12</v>
      </c>
    </row>
    <row r="4" spans="1:15" x14ac:dyDescent="0.3">
      <c r="D4" t="s">
        <v>18</v>
      </c>
      <c r="E4">
        <v>0.61</v>
      </c>
      <c r="F4" s="1">
        <v>2156</v>
      </c>
      <c r="G4" s="1">
        <v>3553</v>
      </c>
      <c r="H4">
        <v>11.53</v>
      </c>
      <c r="I4">
        <v>8.5500000000000007</v>
      </c>
      <c r="J4">
        <v>0.8</v>
      </c>
      <c r="K4" s="4">
        <v>1.32</v>
      </c>
      <c r="L4">
        <v>7.2756556326591229</v>
      </c>
      <c r="M4">
        <v>48.035145162611478</v>
      </c>
    </row>
    <row r="5" spans="1:15" x14ac:dyDescent="0.3">
      <c r="D5" t="s">
        <v>19</v>
      </c>
      <c r="E5">
        <v>0.66</v>
      </c>
      <c r="F5" s="1">
        <v>2847</v>
      </c>
      <c r="G5" s="1">
        <v>4281</v>
      </c>
      <c r="H5">
        <v>9.1</v>
      </c>
      <c r="I5">
        <v>5.6</v>
      </c>
      <c r="J5">
        <v>0.73</v>
      </c>
      <c r="K5" s="4">
        <v>1.1000000000000001</v>
      </c>
      <c r="L5">
        <v>6.6119862237156735</v>
      </c>
      <c r="M5">
        <v>47.835960928534583</v>
      </c>
    </row>
    <row r="6" spans="1:15" x14ac:dyDescent="0.3">
      <c r="D6" t="s">
        <v>20</v>
      </c>
      <c r="E6">
        <v>0.74</v>
      </c>
      <c r="F6" s="1">
        <v>2360</v>
      </c>
      <c r="G6" s="1">
        <v>3180</v>
      </c>
      <c r="H6">
        <v>9.3000000000000007</v>
      </c>
      <c r="I6">
        <v>6.25</v>
      </c>
      <c r="J6">
        <v>0.75</v>
      </c>
      <c r="K6" s="4">
        <v>1.01</v>
      </c>
      <c r="L6">
        <v>5.9639724287895435</v>
      </c>
      <c r="M6">
        <v>47.079912737906959</v>
      </c>
    </row>
    <row r="7" spans="1:15" x14ac:dyDescent="0.3">
      <c r="D7" t="s">
        <v>21</v>
      </c>
      <c r="E7">
        <v>0.75</v>
      </c>
      <c r="F7" s="1">
        <v>2008</v>
      </c>
      <c r="G7" s="1">
        <v>2685</v>
      </c>
      <c r="H7">
        <v>15.49</v>
      </c>
      <c r="I7">
        <v>6.62</v>
      </c>
      <c r="J7">
        <v>0.74</v>
      </c>
      <c r="K7" s="4">
        <v>0.99</v>
      </c>
      <c r="L7">
        <v>5.7006409696448026</v>
      </c>
      <c r="M7">
        <v>45.689583311729137</v>
      </c>
    </row>
    <row r="8" spans="1:15" x14ac:dyDescent="0.3">
      <c r="D8" t="s">
        <v>22</v>
      </c>
      <c r="E8" s="2">
        <v>0.72</v>
      </c>
      <c r="F8" s="3">
        <v>2180</v>
      </c>
      <c r="G8" s="3">
        <v>3036</v>
      </c>
      <c r="H8" s="2">
        <v>10.9</v>
      </c>
      <c r="I8" s="2">
        <v>6.78</v>
      </c>
      <c r="J8" s="2">
        <v>0.74</v>
      </c>
      <c r="K8" s="5">
        <v>1.04</v>
      </c>
      <c r="L8" s="2">
        <v>5.9969135444106145</v>
      </c>
      <c r="M8" s="2">
        <v>46.189314235372606</v>
      </c>
    </row>
    <row r="10" spans="1:15" x14ac:dyDescent="0.3">
      <c r="A10" s="13">
        <v>2</v>
      </c>
      <c r="B10" s="13" t="s">
        <v>14</v>
      </c>
    </row>
    <row r="11" spans="1:15" x14ac:dyDescent="0.3">
      <c r="B11" s="21" t="s">
        <v>61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N11" s="21" t="s">
        <v>13</v>
      </c>
      <c r="O11" s="21"/>
    </row>
    <row r="12" spans="1:15" x14ac:dyDescent="0.3">
      <c r="B12" s="8" t="s">
        <v>25</v>
      </c>
      <c r="C12" s="8"/>
      <c r="D12" s="8" t="s">
        <v>26</v>
      </c>
      <c r="E12" s="8"/>
      <c r="F12" s="8" t="s">
        <v>27</v>
      </c>
      <c r="G12" s="8"/>
      <c r="H12" s="8" t="s">
        <v>37</v>
      </c>
      <c r="I12" s="8"/>
      <c r="J12" s="8" t="s">
        <v>38</v>
      </c>
      <c r="K12" s="8"/>
      <c r="L12" s="8" t="s">
        <v>62</v>
      </c>
      <c r="N12" t="s">
        <v>63</v>
      </c>
      <c r="O12" t="s">
        <v>64</v>
      </c>
    </row>
    <row r="13" spans="1:15" x14ac:dyDescent="0.3">
      <c r="B13" s="10" t="s">
        <v>28</v>
      </c>
      <c r="C13" s="10" t="s">
        <v>53</v>
      </c>
      <c r="D13" s="10" t="s">
        <v>28</v>
      </c>
      <c r="E13" s="10" t="s">
        <v>53</v>
      </c>
      <c r="F13" s="10" t="s">
        <v>28</v>
      </c>
      <c r="G13" s="10" t="s">
        <v>53</v>
      </c>
      <c r="H13" s="10" t="s">
        <v>28</v>
      </c>
      <c r="I13" s="10" t="s">
        <v>29</v>
      </c>
      <c r="J13" s="10" t="s">
        <v>39</v>
      </c>
      <c r="K13" s="10" t="s">
        <v>55</v>
      </c>
      <c r="L13" s="10" t="s">
        <v>55</v>
      </c>
      <c r="N13" s="2"/>
      <c r="O13" s="2"/>
    </row>
    <row r="14" spans="1:15" x14ac:dyDescent="0.3">
      <c r="B14" s="8" t="s">
        <v>30</v>
      </c>
      <c r="C14" s="8">
        <v>2</v>
      </c>
      <c r="D14" s="8"/>
      <c r="E14" s="8"/>
      <c r="F14" s="8" t="s">
        <v>35</v>
      </c>
      <c r="G14" s="8">
        <v>0.05</v>
      </c>
      <c r="H14" s="8" t="s">
        <v>40</v>
      </c>
      <c r="I14" s="8">
        <v>8</v>
      </c>
      <c r="J14" s="8" t="s">
        <v>54</v>
      </c>
      <c r="K14" s="8">
        <v>5</v>
      </c>
      <c r="L14" s="8">
        <v>9.1199999999999992</v>
      </c>
      <c r="N14" s="9">
        <v>1.7914000000000001</v>
      </c>
      <c r="O14" s="9">
        <v>24.621700000000001</v>
      </c>
    </row>
    <row r="15" spans="1:15" x14ac:dyDescent="0.3">
      <c r="B15" s="8" t="s">
        <v>30</v>
      </c>
      <c r="C15" s="8">
        <v>1</v>
      </c>
      <c r="D15" s="8" t="s">
        <v>32</v>
      </c>
      <c r="E15" s="8">
        <v>0.5</v>
      </c>
      <c r="F15" s="8" t="s">
        <v>35</v>
      </c>
      <c r="G15" s="8">
        <v>0.15</v>
      </c>
      <c r="H15" s="8" t="s">
        <v>41</v>
      </c>
      <c r="I15" s="8">
        <v>10</v>
      </c>
      <c r="J15" s="8" t="s">
        <v>56</v>
      </c>
      <c r="K15" s="8">
        <v>4</v>
      </c>
      <c r="L15" s="8">
        <v>3.7850000000000001</v>
      </c>
      <c r="N15" s="9">
        <v>5.0682</v>
      </c>
      <c r="O15" s="9">
        <v>76.651300000000006</v>
      </c>
    </row>
    <row r="16" spans="1:15" x14ac:dyDescent="0.3">
      <c r="B16" s="8" t="s">
        <v>30</v>
      </c>
      <c r="C16" s="8">
        <v>4</v>
      </c>
      <c r="D16" s="8" t="s">
        <v>33</v>
      </c>
      <c r="E16" s="8">
        <v>1</v>
      </c>
      <c r="F16" s="8"/>
      <c r="G16" s="8"/>
      <c r="H16" s="8" t="s">
        <v>41</v>
      </c>
      <c r="I16" s="8">
        <v>119</v>
      </c>
      <c r="J16" s="8" t="s">
        <v>57</v>
      </c>
      <c r="K16" s="8">
        <v>52</v>
      </c>
      <c r="L16" s="8">
        <v>52.3</v>
      </c>
      <c r="N16" s="9">
        <v>0.1056</v>
      </c>
      <c r="O16" s="9">
        <v>1.7709999999999999</v>
      </c>
    </row>
    <row r="17" spans="1:24" x14ac:dyDescent="0.3">
      <c r="B17" s="8" t="s">
        <v>30</v>
      </c>
      <c r="C17" s="8">
        <v>1.5</v>
      </c>
      <c r="D17" s="8"/>
      <c r="E17" s="8"/>
      <c r="F17" s="8" t="s">
        <v>36</v>
      </c>
      <c r="G17" s="8">
        <v>19</v>
      </c>
      <c r="H17" s="8" t="s">
        <v>42</v>
      </c>
      <c r="I17" s="8">
        <v>15</v>
      </c>
      <c r="J17" s="8" t="s">
        <v>58</v>
      </c>
      <c r="K17" s="8">
        <v>5</v>
      </c>
      <c r="L17" s="8">
        <v>17.13</v>
      </c>
      <c r="N17" s="9">
        <v>4.1300000000000003E-2</v>
      </c>
      <c r="O17" s="9">
        <v>0.72360000000000002</v>
      </c>
    </row>
    <row r="18" spans="1:24" x14ac:dyDescent="0.3">
      <c r="B18" s="10" t="s">
        <v>30</v>
      </c>
      <c r="C18" s="10">
        <v>0.2</v>
      </c>
      <c r="D18" s="10" t="s">
        <v>34</v>
      </c>
      <c r="E18" s="10">
        <v>0.2</v>
      </c>
      <c r="F18" s="10" t="s">
        <v>35</v>
      </c>
      <c r="G18" s="10">
        <v>0.06</v>
      </c>
      <c r="H18" s="10" t="s">
        <v>43</v>
      </c>
      <c r="I18" s="10">
        <v>15</v>
      </c>
      <c r="J18" s="10" t="s">
        <v>59</v>
      </c>
      <c r="K18" s="10">
        <v>5</v>
      </c>
      <c r="L18" s="10">
        <v>6.3</v>
      </c>
      <c r="N18" s="16">
        <v>6.6162999999999998</v>
      </c>
      <c r="O18" s="16">
        <v>110.3287</v>
      </c>
    </row>
    <row r="21" spans="1:24" x14ac:dyDescent="0.3">
      <c r="A21" s="13">
        <v>3</v>
      </c>
      <c r="B21" s="13" t="s">
        <v>15</v>
      </c>
    </row>
    <row r="22" spans="1:24" x14ac:dyDescent="0.3">
      <c r="A22" s="14" t="s">
        <v>16</v>
      </c>
      <c r="B22" s="14" t="s">
        <v>17</v>
      </c>
    </row>
    <row r="25" spans="1:24" x14ac:dyDescent="0.3">
      <c r="B25" s="21" t="s">
        <v>61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O25" s="22" t="s">
        <v>13</v>
      </c>
      <c r="P25" s="22"/>
      <c r="Q25" s="22"/>
      <c r="R25" s="22"/>
      <c r="S25" s="22"/>
      <c r="T25" s="22"/>
      <c r="U25" s="22"/>
      <c r="V25" s="22"/>
      <c r="W25" s="22"/>
      <c r="X25" s="22"/>
    </row>
    <row r="26" spans="1:24" x14ac:dyDescent="0.3">
      <c r="B26" s="11"/>
      <c r="C26" s="11"/>
      <c r="D26" s="12" t="s">
        <v>25</v>
      </c>
      <c r="E26" s="12"/>
      <c r="F26" s="12" t="s">
        <v>26</v>
      </c>
      <c r="G26" s="12"/>
      <c r="H26" s="12" t="s">
        <v>27</v>
      </c>
      <c r="I26" s="12"/>
      <c r="J26" s="12" t="s">
        <v>37</v>
      </c>
      <c r="K26" s="12"/>
      <c r="L26" s="12" t="s">
        <v>38</v>
      </c>
      <c r="M26" s="12"/>
      <c r="O26" s="23" t="s">
        <v>24</v>
      </c>
      <c r="P26" s="23" t="s">
        <v>50</v>
      </c>
      <c r="Q26" s="23"/>
      <c r="R26" s="23"/>
      <c r="S26" s="23"/>
      <c r="T26" s="23"/>
      <c r="U26" s="23"/>
      <c r="V26" s="17"/>
      <c r="W26" s="17"/>
    </row>
    <row r="27" spans="1:24" x14ac:dyDescent="0.3">
      <c r="B27" s="2" t="s">
        <v>31</v>
      </c>
      <c r="C27" s="2" t="s">
        <v>23</v>
      </c>
      <c r="D27" s="10" t="s">
        <v>28</v>
      </c>
      <c r="E27" s="10" t="s">
        <v>53</v>
      </c>
      <c r="F27" s="10" t="s">
        <v>28</v>
      </c>
      <c r="G27" s="10" t="s">
        <v>53</v>
      </c>
      <c r="H27" s="10" t="s">
        <v>28</v>
      </c>
      <c r="I27" s="10" t="s">
        <v>53</v>
      </c>
      <c r="J27" s="10" t="s">
        <v>28</v>
      </c>
      <c r="K27" s="10" t="s">
        <v>29</v>
      </c>
      <c r="L27" s="10" t="s">
        <v>39</v>
      </c>
      <c r="M27" s="10" t="s">
        <v>55</v>
      </c>
      <c r="O27" s="23"/>
      <c r="P27" s="17" t="s">
        <v>25</v>
      </c>
      <c r="Q27" s="17" t="s">
        <v>26</v>
      </c>
      <c r="R27" s="17" t="s">
        <v>27</v>
      </c>
      <c r="S27" s="17" t="s">
        <v>51</v>
      </c>
      <c r="T27" s="17" t="s">
        <v>38</v>
      </c>
      <c r="U27" s="17" t="s">
        <v>52</v>
      </c>
      <c r="V27" s="17" t="s">
        <v>46</v>
      </c>
      <c r="W27" s="17" t="s">
        <v>49</v>
      </c>
    </row>
    <row r="28" spans="1:24" x14ac:dyDescent="0.3">
      <c r="B28">
        <v>24</v>
      </c>
      <c r="C28">
        <f>85+273.15</f>
        <v>358.15</v>
      </c>
      <c r="D28" s="8" t="s">
        <v>30</v>
      </c>
      <c r="E28" s="8">
        <v>2</v>
      </c>
      <c r="F28" s="8"/>
      <c r="G28" s="8"/>
      <c r="H28" s="8" t="s">
        <v>35</v>
      </c>
      <c r="I28" s="8">
        <v>0.05</v>
      </c>
      <c r="J28" s="8" t="s">
        <v>40</v>
      </c>
      <c r="K28" s="8">
        <v>8</v>
      </c>
      <c r="L28" s="8" t="s">
        <v>54</v>
      </c>
      <c r="M28" s="8">
        <v>5</v>
      </c>
      <c r="O28" s="17">
        <v>364.47</v>
      </c>
      <c r="P28" s="18">
        <v>229.73842400000001</v>
      </c>
      <c r="Q28" s="18">
        <v>0</v>
      </c>
      <c r="R28" s="18">
        <v>0.25051299999999999</v>
      </c>
      <c r="S28" s="18">
        <v>0.18</v>
      </c>
      <c r="T28" s="18">
        <v>0.32802300000000001</v>
      </c>
      <c r="U28" s="18">
        <f>SUM(P28:T28)</f>
        <v>230.49696000000003</v>
      </c>
      <c r="V28" s="19">
        <v>0.53810199999999997</v>
      </c>
      <c r="W28" s="19">
        <f>V28+E38+E47</f>
        <v>24.700814999999999</v>
      </c>
    </row>
    <row r="29" spans="1:24" x14ac:dyDescent="0.3">
      <c r="B29">
        <v>24</v>
      </c>
      <c r="C29">
        <f>85+273.15</f>
        <v>358.15</v>
      </c>
      <c r="D29" s="8" t="s">
        <v>30</v>
      </c>
      <c r="E29" s="8">
        <v>1</v>
      </c>
      <c r="F29" s="8" t="s">
        <v>32</v>
      </c>
      <c r="G29" s="8">
        <v>0.5</v>
      </c>
      <c r="H29" s="8" t="s">
        <v>35</v>
      </c>
      <c r="I29" s="8">
        <v>0.15</v>
      </c>
      <c r="J29" s="8" t="s">
        <v>41</v>
      </c>
      <c r="K29" s="8">
        <v>10</v>
      </c>
      <c r="L29" s="8" t="s">
        <v>56</v>
      </c>
      <c r="M29" s="8">
        <v>4</v>
      </c>
      <c r="O29" s="17">
        <v>586.16999999999996</v>
      </c>
      <c r="P29" s="18">
        <v>114.869212</v>
      </c>
      <c r="Q29" s="18">
        <v>57.773215</v>
      </c>
      <c r="R29" s="18">
        <v>2.0291519999999998</v>
      </c>
      <c r="S29" s="18">
        <v>0.19152</v>
      </c>
      <c r="T29" s="18">
        <v>0.24970800000000001</v>
      </c>
      <c r="U29" s="18">
        <f>SUM(P29:T29)</f>
        <v>175.112807</v>
      </c>
      <c r="V29" s="19">
        <v>0.77530900000000003</v>
      </c>
      <c r="W29" s="19">
        <f>V29+E39+E48</f>
        <v>24.883101</v>
      </c>
    </row>
    <row r="30" spans="1:24" x14ac:dyDescent="0.3">
      <c r="B30">
        <v>48</v>
      </c>
      <c r="C30">
        <f>120+273.15</f>
        <v>393.15</v>
      </c>
      <c r="D30" s="8" t="s">
        <v>30</v>
      </c>
      <c r="E30" s="8">
        <v>4</v>
      </c>
      <c r="F30" s="8" t="s">
        <v>33</v>
      </c>
      <c r="G30" s="8">
        <v>1</v>
      </c>
      <c r="H30" s="8"/>
      <c r="I30" s="8"/>
      <c r="J30" s="8" t="s">
        <v>41</v>
      </c>
      <c r="K30" s="8">
        <v>119</v>
      </c>
      <c r="L30" s="8" t="s">
        <v>57</v>
      </c>
      <c r="M30" s="8">
        <v>52</v>
      </c>
      <c r="O30" s="17">
        <v>181.99</v>
      </c>
      <c r="P30" s="18">
        <v>727.50500899999997</v>
      </c>
      <c r="Q30" s="18">
        <v>176.11305400000001</v>
      </c>
      <c r="R30" s="18">
        <v>0</v>
      </c>
      <c r="S30" s="18">
        <v>3.61</v>
      </c>
      <c r="T30" s="18">
        <v>5.1867150000000004</v>
      </c>
      <c r="U30" s="18">
        <f t="shared" ref="U30:U32" si="0">SUM(P30:T30)</f>
        <v>912.41477800000007</v>
      </c>
      <c r="V30" s="19">
        <v>2.0912920000000002</v>
      </c>
      <c r="W30" s="19">
        <f>V30+E40+E49</f>
        <v>77.038910000000001</v>
      </c>
    </row>
    <row r="31" spans="1:24" x14ac:dyDescent="0.3">
      <c r="B31">
        <v>96</v>
      </c>
      <c r="C31">
        <f>70+273.15</f>
        <v>343.15</v>
      </c>
      <c r="D31" s="8" t="s">
        <v>30</v>
      </c>
      <c r="E31" s="8">
        <v>1.5</v>
      </c>
      <c r="F31" s="8"/>
      <c r="G31" s="8"/>
      <c r="H31" s="8" t="s">
        <v>36</v>
      </c>
      <c r="I31" s="8">
        <v>19</v>
      </c>
      <c r="J31" s="8" t="s">
        <v>42</v>
      </c>
      <c r="K31" s="8">
        <v>15</v>
      </c>
      <c r="L31" s="8" t="s">
        <v>58</v>
      </c>
      <c r="M31" s="8">
        <v>5</v>
      </c>
      <c r="O31" s="17">
        <v>41.29</v>
      </c>
      <c r="P31" s="18">
        <v>129.22786300000001</v>
      </c>
      <c r="Q31" s="18">
        <v>0</v>
      </c>
      <c r="R31" s="18">
        <v>0.42968000000000001</v>
      </c>
      <c r="S31" s="18">
        <v>0.30476199999999998</v>
      </c>
      <c r="T31" s="18">
        <v>2.3411000000000001E-2</v>
      </c>
      <c r="U31" s="18">
        <f t="shared" si="0"/>
        <v>129.98571600000002</v>
      </c>
      <c r="V31" s="19">
        <v>0.17502699999999999</v>
      </c>
      <c r="W31" s="19">
        <f>V31+E41+E50</f>
        <v>74.036393999999987</v>
      </c>
    </row>
    <row r="32" spans="1:24" x14ac:dyDescent="0.3">
      <c r="B32" s="2">
        <v>24</v>
      </c>
      <c r="C32" s="2">
        <f>65+273.15</f>
        <v>338.15</v>
      </c>
      <c r="D32" s="10" t="s">
        <v>30</v>
      </c>
      <c r="E32" s="10">
        <v>0.2</v>
      </c>
      <c r="F32" s="10" t="s">
        <v>34</v>
      </c>
      <c r="G32" s="10">
        <v>0.2</v>
      </c>
      <c r="H32" s="10" t="s">
        <v>35</v>
      </c>
      <c r="I32" s="10">
        <v>0.06</v>
      </c>
      <c r="J32" s="10" t="s">
        <v>43</v>
      </c>
      <c r="K32" s="10">
        <v>15</v>
      </c>
      <c r="L32" s="10" t="s">
        <v>59</v>
      </c>
      <c r="M32" s="10">
        <v>5</v>
      </c>
      <c r="O32" s="17">
        <v>345.59</v>
      </c>
      <c r="P32" s="20">
        <v>15.315894999999999</v>
      </c>
      <c r="Q32" s="18">
        <v>16.715731000000002</v>
      </c>
      <c r="R32" s="18">
        <v>0.20041</v>
      </c>
      <c r="S32" s="18">
        <v>0.26400000000000001</v>
      </c>
      <c r="T32" s="18">
        <v>0.19353000000000001</v>
      </c>
      <c r="U32" s="18">
        <f t="shared" si="0"/>
        <v>32.689566000000006</v>
      </c>
      <c r="V32" s="19">
        <v>4.45E-3</v>
      </c>
      <c r="W32" s="19">
        <f>V32+E42+E51</f>
        <v>16.732153</v>
      </c>
    </row>
    <row r="35" spans="1:13" x14ac:dyDescent="0.3">
      <c r="A35" s="14" t="s">
        <v>65</v>
      </c>
      <c r="B35" s="14" t="s">
        <v>44</v>
      </c>
    </row>
    <row r="36" spans="1:13" x14ac:dyDescent="0.3">
      <c r="B36" s="21" t="s">
        <v>61</v>
      </c>
      <c r="C36" s="21"/>
      <c r="E36" s="7" t="s">
        <v>13</v>
      </c>
    </row>
    <row r="37" spans="1:13" x14ac:dyDescent="0.3">
      <c r="B37" t="s">
        <v>31</v>
      </c>
      <c r="C37" t="s">
        <v>23</v>
      </c>
      <c r="E37" t="s">
        <v>47</v>
      </c>
      <c r="M37" t="s">
        <v>78</v>
      </c>
    </row>
    <row r="38" spans="1:13" x14ac:dyDescent="0.3">
      <c r="B38">
        <v>24</v>
      </c>
      <c r="C38">
        <f>85+273.15</f>
        <v>358.15</v>
      </c>
      <c r="E38" s="6">
        <v>22.830335999999999</v>
      </c>
    </row>
    <row r="39" spans="1:13" x14ac:dyDescent="0.3">
      <c r="B39">
        <v>24</v>
      </c>
      <c r="C39">
        <f>85+273.15</f>
        <v>358.15</v>
      </c>
      <c r="E39" s="6">
        <v>22.830335999999999</v>
      </c>
    </row>
    <row r="40" spans="1:13" x14ac:dyDescent="0.3">
      <c r="B40">
        <v>48</v>
      </c>
      <c r="C40">
        <f>120+273.15</f>
        <v>393.15</v>
      </c>
      <c r="E40" s="6">
        <v>72.296064000000001</v>
      </c>
    </row>
    <row r="41" spans="1:13" x14ac:dyDescent="0.3">
      <c r="B41">
        <v>96</v>
      </c>
      <c r="C41">
        <f>70+273.15</f>
        <v>343.15</v>
      </c>
      <c r="E41" s="6">
        <v>68.491007999999994</v>
      </c>
    </row>
    <row r="42" spans="1:13" x14ac:dyDescent="0.3">
      <c r="B42" s="2">
        <v>24</v>
      </c>
      <c r="C42" s="2">
        <f>65+273.15</f>
        <v>338.15</v>
      </c>
      <c r="E42" s="15">
        <v>15.220224</v>
      </c>
    </row>
    <row r="44" spans="1:13" x14ac:dyDescent="0.3">
      <c r="A44" s="14" t="s">
        <v>66</v>
      </c>
      <c r="B44" s="14" t="s">
        <v>45</v>
      </c>
    </row>
    <row r="45" spans="1:13" x14ac:dyDescent="0.3">
      <c r="B45" s="21" t="s">
        <v>61</v>
      </c>
      <c r="C45" s="21"/>
      <c r="E45" s="7" t="s">
        <v>13</v>
      </c>
    </row>
    <row r="46" spans="1:13" x14ac:dyDescent="0.3">
      <c r="B46" t="s">
        <v>60</v>
      </c>
      <c r="C46" t="s">
        <v>31</v>
      </c>
      <c r="E46" t="s">
        <v>48</v>
      </c>
    </row>
    <row r="47" spans="1:13" x14ac:dyDescent="0.3">
      <c r="C47">
        <v>24</v>
      </c>
      <c r="E47" s="6">
        <v>1.3323769999999999</v>
      </c>
    </row>
    <row r="48" spans="1:13" x14ac:dyDescent="0.3">
      <c r="C48">
        <v>24</v>
      </c>
      <c r="E48" s="6">
        <v>1.2774559999999999</v>
      </c>
    </row>
    <row r="49" spans="1:9" x14ac:dyDescent="0.3">
      <c r="C49">
        <v>48</v>
      </c>
      <c r="E49" s="6">
        <v>2.651554</v>
      </c>
    </row>
    <row r="50" spans="1:9" x14ac:dyDescent="0.3">
      <c r="C50">
        <v>96</v>
      </c>
      <c r="E50" s="6">
        <v>5.3703589999999997</v>
      </c>
    </row>
    <row r="51" spans="1:9" x14ac:dyDescent="0.3">
      <c r="B51" s="2"/>
      <c r="C51" s="2">
        <v>24</v>
      </c>
      <c r="E51" s="15">
        <v>1.507479</v>
      </c>
    </row>
    <row r="53" spans="1:9" x14ac:dyDescent="0.3">
      <c r="A53" s="13">
        <v>4</v>
      </c>
      <c r="B53" s="13" t="s">
        <v>67</v>
      </c>
    </row>
    <row r="54" spans="1:9" x14ac:dyDescent="0.3">
      <c r="B54" s="21" t="s">
        <v>3</v>
      </c>
      <c r="C54" s="21"/>
      <c r="D54" s="21"/>
      <c r="F54" s="21" t="s">
        <v>13</v>
      </c>
      <c r="G54" s="21"/>
      <c r="H54" s="21"/>
      <c r="I54" s="21"/>
    </row>
    <row r="55" spans="1:9" x14ac:dyDescent="0.3">
      <c r="B55" t="s">
        <v>68</v>
      </c>
      <c r="F55" t="s">
        <v>74</v>
      </c>
      <c r="G55" t="s">
        <v>75</v>
      </c>
      <c r="H55" t="s">
        <v>76</v>
      </c>
      <c r="I55" t="s">
        <v>77</v>
      </c>
    </row>
    <row r="56" spans="1:9" x14ac:dyDescent="0.3">
      <c r="B56" t="s">
        <v>69</v>
      </c>
      <c r="F56">
        <v>27.8</v>
      </c>
      <c r="G56">
        <v>8.1000000000000003E-2</v>
      </c>
      <c r="H56">
        <v>-1.1986E-2</v>
      </c>
      <c r="I56">
        <v>0.495</v>
      </c>
    </row>
    <row r="57" spans="1:9" x14ac:dyDescent="0.3">
      <c r="B57" t="s">
        <v>70</v>
      </c>
      <c r="F57">
        <v>50</v>
      </c>
      <c r="G57">
        <v>9.8100000000000007E-2</v>
      </c>
      <c r="H57">
        <v>-9.3819999999999997E-3</v>
      </c>
      <c r="I57">
        <v>0.51980000000000004</v>
      </c>
    </row>
    <row r="58" spans="1:9" x14ac:dyDescent="0.3">
      <c r="B58" t="s">
        <v>71</v>
      </c>
      <c r="F58">
        <v>21</v>
      </c>
      <c r="G58">
        <v>0.11509999999999999</v>
      </c>
      <c r="H58">
        <v>-2.0648E-2</v>
      </c>
      <c r="I58">
        <v>1.4864999999999999</v>
      </c>
    </row>
    <row r="59" spans="1:9" x14ac:dyDescent="0.3">
      <c r="B59" t="s">
        <v>72</v>
      </c>
      <c r="F59">
        <v>81.915999999999997</v>
      </c>
      <c r="G59">
        <v>0.36330000000000001</v>
      </c>
      <c r="H59">
        <v>-1.3927999999999999E-2</v>
      </c>
      <c r="I59">
        <v>-2.5999999999999999E-3</v>
      </c>
    </row>
    <row r="60" spans="1:9" x14ac:dyDescent="0.3">
      <c r="B60" s="2" t="s">
        <v>73</v>
      </c>
      <c r="C60" s="2"/>
      <c r="D60" s="2"/>
      <c r="F60" s="2">
        <v>46.47</v>
      </c>
      <c r="G60" s="2">
        <v>0.1244</v>
      </c>
      <c r="I60" s="2">
        <v>0.63480000000000003</v>
      </c>
    </row>
    <row r="61" spans="1:9" x14ac:dyDescent="0.3">
      <c r="H61" s="2">
        <v>-8.8170000000000002E-3</v>
      </c>
    </row>
  </sheetData>
  <mergeCells count="12">
    <mergeCell ref="B54:D54"/>
    <mergeCell ref="F54:I54"/>
    <mergeCell ref="B45:C45"/>
    <mergeCell ref="B11:L11"/>
    <mergeCell ref="N11:O11"/>
    <mergeCell ref="E2:K2"/>
    <mergeCell ref="L2:M2"/>
    <mergeCell ref="O25:X25"/>
    <mergeCell ref="B25:M25"/>
    <mergeCell ref="B36:C36"/>
    <mergeCell ref="O26:O27"/>
    <mergeCell ref="P26:U2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Ilham Eka Prawira</cp:lastModifiedBy>
  <dcterms:created xsi:type="dcterms:W3CDTF">2026-04-12T11:42:19Z</dcterms:created>
  <dcterms:modified xsi:type="dcterms:W3CDTF">2026-04-27T12:30:08Z</dcterms:modified>
</cp:coreProperties>
</file>