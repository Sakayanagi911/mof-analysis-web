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 MOF\Scale Up\Fix\"/>
    </mc:Choice>
  </mc:AlternateContent>
  <xr:revisionPtr revIDLastSave="0" documentId="13_ncr:1_{6B2B1CE7-B968-4CB4-B4EF-F42652B498F4}" xr6:coauthVersionLast="44" xr6:coauthVersionMax="44" xr10:uidLastSave="{00000000-0000-0000-0000-000000000000}"/>
  <bookViews>
    <workbookView xWindow="-120" yWindow="-120" windowWidth="20730" windowHeight="11160" xr2:uid="{0B574429-F699-4017-9AB9-762289A2E6BF}"/>
  </bookViews>
  <sheets>
    <sheet name="Syn_Param" sheetId="1" r:id="rId1"/>
    <sheet name="Solvent" sheetId="2" r:id="rId2"/>
    <sheet name="Met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Z57" i="1" l="1"/>
  <c r="BA57" i="1"/>
  <c r="Y67" i="1" l="1"/>
  <c r="Y64" i="1"/>
  <c r="Y46" i="1"/>
  <c r="Y45" i="1"/>
  <c r="Y42" i="1"/>
  <c r="Y22" i="1"/>
  <c r="Y11" i="1"/>
  <c r="X68" i="1"/>
  <c r="X66" i="1"/>
  <c r="Y66" i="1" s="1"/>
  <c r="X32" i="1"/>
  <c r="Y32" i="1" s="1"/>
  <c r="X60" i="1"/>
  <c r="X53" i="1"/>
  <c r="Y53" i="1" s="1"/>
  <c r="X35" i="1"/>
  <c r="X34" i="1"/>
  <c r="Y34" i="1" s="1"/>
  <c r="X33" i="1"/>
  <c r="X27" i="1"/>
  <c r="X21" i="1"/>
  <c r="X61" i="1"/>
  <c r="Y61" i="1" s="1"/>
  <c r="X59" i="1"/>
  <c r="X54" i="1"/>
  <c r="X36" i="1"/>
  <c r="Y36" i="1" s="1"/>
  <c r="X31" i="1"/>
  <c r="X65" i="1"/>
  <c r="Y65" i="1" s="1"/>
  <c r="X30" i="1"/>
  <c r="Y30" i="1" s="1"/>
  <c r="X26" i="1"/>
  <c r="Y26" i="1" s="1"/>
  <c r="X13" i="1"/>
  <c r="Y13" i="1" s="1"/>
  <c r="X10" i="1"/>
  <c r="Y10" i="1" s="1"/>
  <c r="X8" i="1"/>
  <c r="X3" i="1"/>
  <c r="Y3" i="1" s="1"/>
  <c r="X4" i="1"/>
  <c r="Y4" i="1"/>
  <c r="X63" i="1"/>
  <c r="X58" i="1"/>
  <c r="X56" i="1"/>
  <c r="X52" i="1"/>
  <c r="X49" i="1"/>
  <c r="X18" i="1"/>
  <c r="X16" i="1"/>
  <c r="X12" i="1"/>
  <c r="Y12" i="1" s="1"/>
  <c r="X2" i="1"/>
  <c r="W2" i="1"/>
  <c r="Y2" i="1" s="1"/>
  <c r="AV69" i="1" l="1"/>
  <c r="AM69" i="1"/>
  <c r="AL69" i="1"/>
  <c r="AB69" i="1"/>
  <c r="AL68" i="1"/>
  <c r="AC68" i="1"/>
  <c r="AB68" i="1"/>
  <c r="W68" i="1"/>
  <c r="Y68" i="1" s="1"/>
  <c r="AL67" i="1"/>
  <c r="AB67" i="1"/>
  <c r="P67" i="1"/>
  <c r="AM65" i="1"/>
  <c r="AC65" i="1"/>
  <c r="L65" i="1"/>
  <c r="M65" i="1" s="1"/>
  <c r="K65" i="1"/>
  <c r="AL64" i="1"/>
  <c r="AB64" i="1"/>
  <c r="AV63" i="1"/>
  <c r="AL63" i="1"/>
  <c r="AB63" i="1"/>
  <c r="W63" i="1"/>
  <c r="Y63" i="1" s="1"/>
  <c r="K63" i="1"/>
  <c r="S62" i="1"/>
  <c r="P62" i="1"/>
  <c r="K62" i="1"/>
  <c r="AM61" i="1"/>
  <c r="AL61" i="1"/>
  <c r="AC61" i="1"/>
  <c r="AB61" i="1"/>
  <c r="K61" i="1"/>
  <c r="AC60" i="1"/>
  <c r="W60" i="1"/>
  <c r="Y60" i="1" s="1"/>
  <c r="S60" i="1"/>
  <c r="P60" i="1"/>
  <c r="AM59" i="1"/>
  <c r="AC59" i="1"/>
  <c r="W59" i="1"/>
  <c r="Y59" i="1" s="1"/>
  <c r="AM58" i="1"/>
  <c r="AC58" i="1"/>
  <c r="W58" i="1"/>
  <c r="Y58" i="1" s="1"/>
  <c r="L58" i="1"/>
  <c r="M58" i="1" s="1"/>
  <c r="K57" i="1"/>
  <c r="AM56" i="1"/>
  <c r="AC56" i="1"/>
  <c r="W56" i="1"/>
  <c r="Y56" i="1" s="1"/>
  <c r="S56" i="1"/>
  <c r="P56" i="1"/>
  <c r="M56" i="1"/>
  <c r="AC55" i="1"/>
  <c r="S55" i="1"/>
  <c r="P55" i="1"/>
  <c r="AM54" i="1"/>
  <c r="AL54" i="1"/>
  <c r="AC54" i="1"/>
  <c r="AB54" i="1"/>
  <c r="W54" i="1"/>
  <c r="Y54" i="1" s="1"/>
  <c r="M54" i="1"/>
  <c r="AM53" i="1"/>
  <c r="AC53" i="1"/>
  <c r="AM52" i="1"/>
  <c r="AL52" i="1"/>
  <c r="AC52" i="1"/>
  <c r="W52" i="1"/>
  <c r="Y52" i="1" s="1"/>
  <c r="AC51" i="1"/>
  <c r="AM50" i="1"/>
  <c r="AC50" i="1"/>
  <c r="S50" i="1"/>
  <c r="P50" i="1"/>
  <c r="W49" i="1"/>
  <c r="Y49" i="1" s="1"/>
  <c r="L49" i="1"/>
  <c r="M49" i="1" s="1"/>
  <c r="AM48" i="1"/>
  <c r="S48" i="1"/>
  <c r="P48" i="1"/>
  <c r="K48" i="1"/>
  <c r="AL47" i="1"/>
  <c r="M47" i="1"/>
  <c r="L45" i="1"/>
  <c r="AC44" i="1"/>
  <c r="AB44" i="1"/>
  <c r="M44" i="1"/>
  <c r="W43" i="1"/>
  <c r="Y43" i="1" s="1"/>
  <c r="L43" i="1"/>
  <c r="M43" i="1" s="1"/>
  <c r="M42" i="1"/>
  <c r="L41" i="1"/>
  <c r="M41" i="1" s="1"/>
  <c r="K41" i="1"/>
  <c r="J41" i="1"/>
  <c r="AC40" i="1"/>
  <c r="K40" i="1"/>
  <c r="AM39" i="1"/>
  <c r="AC39" i="1"/>
  <c r="M39" i="1"/>
  <c r="AW38" i="1"/>
  <c r="AV38" i="1"/>
  <c r="AM38" i="1"/>
  <c r="AL38" i="1"/>
  <c r="AC38" i="1"/>
  <c r="AB38" i="1"/>
  <c r="K38" i="1"/>
  <c r="AM37" i="1"/>
  <c r="AC37" i="1"/>
  <c r="M37" i="1"/>
  <c r="K37" i="1"/>
  <c r="J37" i="1"/>
  <c r="AM35" i="1"/>
  <c r="AL35" i="1"/>
  <c r="AC35" i="1"/>
  <c r="W35" i="1"/>
  <c r="Y35" i="1" s="1"/>
  <c r="M35" i="1"/>
  <c r="AM34" i="1"/>
  <c r="AL34" i="1"/>
  <c r="AC34" i="1"/>
  <c r="AB34" i="1"/>
  <c r="M34" i="1"/>
  <c r="W33" i="1"/>
  <c r="Y33" i="1" s="1"/>
  <c r="M33" i="1"/>
  <c r="AC32" i="1"/>
  <c r="K32" i="1"/>
  <c r="AM31" i="1"/>
  <c r="AC31" i="1"/>
  <c r="W31" i="1"/>
  <c r="Y31" i="1" s="1"/>
  <c r="AM30" i="1"/>
  <c r="AL30" i="1"/>
  <c r="AC30" i="1"/>
  <c r="AB30" i="1"/>
  <c r="S30" i="1"/>
  <c r="P30" i="1"/>
  <c r="AM29" i="1"/>
  <c r="AL29" i="1"/>
  <c r="AC29" i="1"/>
  <c r="AB29" i="1"/>
  <c r="AM28" i="1"/>
  <c r="AL28" i="1"/>
  <c r="AC28" i="1"/>
  <c r="AB28" i="1"/>
  <c r="S28" i="1"/>
  <c r="P28" i="1"/>
  <c r="K28" i="1"/>
  <c r="AM27" i="1"/>
  <c r="AL27" i="1"/>
  <c r="AC27" i="1"/>
  <c r="AB27" i="1"/>
  <c r="W27" i="1"/>
  <c r="Y27" i="1" s="1"/>
  <c r="M27" i="1"/>
  <c r="AM26" i="1"/>
  <c r="AC26" i="1"/>
  <c r="AM25" i="1"/>
  <c r="AL25" i="1"/>
  <c r="AC25" i="1"/>
  <c r="AB25" i="1"/>
  <c r="S25" i="1"/>
  <c r="W25" i="1" s="1"/>
  <c r="Y25" i="1" s="1"/>
  <c r="P25" i="1"/>
  <c r="AM24" i="1"/>
  <c r="AL24" i="1"/>
  <c r="AC24" i="1"/>
  <c r="AB24" i="1"/>
  <c r="S24" i="1"/>
  <c r="P24" i="1"/>
  <c r="AC23" i="1"/>
  <c r="AM22" i="1"/>
  <c r="AL22" i="1"/>
  <c r="AC22" i="1"/>
  <c r="AB22" i="1"/>
  <c r="K22" i="1"/>
  <c r="AM21" i="1"/>
  <c r="AL21" i="1"/>
  <c r="AC21" i="1"/>
  <c r="AB21" i="1"/>
  <c r="W21" i="1"/>
  <c r="Y21" i="1" s="1"/>
  <c r="AM20" i="1"/>
  <c r="AL20" i="1"/>
  <c r="AC20" i="1"/>
  <c r="AB20" i="1"/>
  <c r="AM19" i="1"/>
  <c r="AC19" i="1"/>
  <c r="K19" i="1"/>
  <c r="AM18" i="1"/>
  <c r="W18" i="1"/>
  <c r="Y18" i="1" s="1"/>
  <c r="AV17" i="1"/>
  <c r="AL17" i="1"/>
  <c r="AB17" i="1"/>
  <c r="AL16" i="1"/>
  <c r="AB16" i="1"/>
  <c r="W16" i="1"/>
  <c r="Y16" i="1" s="1"/>
  <c r="M15" i="1"/>
  <c r="AV13" i="1"/>
  <c r="AL13" i="1"/>
  <c r="AB13" i="1"/>
  <c r="K13" i="1"/>
  <c r="K11" i="1"/>
  <c r="M9" i="1"/>
  <c r="K9" i="1"/>
  <c r="J9" i="1"/>
  <c r="W8" i="1"/>
  <c r="Y8" i="1" s="1"/>
  <c r="L7" i="1"/>
  <c r="M7" i="1" s="1"/>
  <c r="L6" i="1"/>
  <c r="M6" i="1" s="1"/>
  <c r="J6" i="1"/>
  <c r="AL4" i="1"/>
  <c r="AB4" i="1"/>
  <c r="M4" i="1"/>
  <c r="J4" i="1"/>
  <c r="K3" i="1"/>
  <c r="AB2" i="1"/>
  <c r="M2" i="1"/>
  <c r="W24" i="1" l="1"/>
  <c r="Y24" i="1" s="1"/>
</calcChain>
</file>

<file path=xl/sharedStrings.xml><?xml version="1.0" encoding="utf-8"?>
<sst xmlns="http://schemas.openxmlformats.org/spreadsheetml/2006/main" count="1215" uniqueCount="770">
  <si>
    <t>HUNCIE</t>
  </si>
  <si>
    <t>ZJU-31</t>
  </si>
  <si>
    <t xml:space="preserve">http://dx.doi.org/10.1021/acs.cgd.5b00675 </t>
  </si>
  <si>
    <t xml:space="preserve">https://www.ccdc.cam.ac.uk/structures/Search?Ccdcid=HUNCIE&amp;DatabaseToSearch=Published </t>
  </si>
  <si>
    <t>autogenous</t>
  </si>
  <si>
    <t>H2O</t>
  </si>
  <si>
    <t>Cu(NO₃)₂·2.5H₂O</t>
  </si>
  <si>
    <t>(R)-H₄L</t>
  </si>
  <si>
    <t>1800290-01-0</t>
  </si>
  <si>
    <t>4-[3-[4-[3,5-bis(4-carboxyphenyl)phenyl]-2,5-dimethoxyphenyl]-5-(4-carboxyphenyl)phenyl]benzoate</t>
  </si>
  <si>
    <t>["5',5''''-(2,5-Dimethoxy-1,4-phenylene)bis[1,1':3',1''-terphenyl]-4,4''-dicarboxylate"]</t>
  </si>
  <si>
    <t>COC1=C(C=C(C(=C1)C=1C=C(C=C(C1)C1=CC=C(C=C1)C(=O)O)C1=CC=C(C=C1)C(=O)O)OC)C=1C=C(C=C(C1)C1=CC=C(C=C1)C(=O)O)C1=CC=C(C=C1)C(=O)O</t>
  </si>
  <si>
    <t>BLD Pharm</t>
  </si>
  <si>
    <t>SUNLAP</t>
  </si>
  <si>
    <t xml:space="preserve">https://doi.org/10.1002/anie.200806227 </t>
  </si>
  <si>
    <t xml:space="preserve">https://www.ccdc.cam.ac.uk/structures/Search?Ccdcid=SUNLAP&amp;DatabaseToSearch=Published </t>
  </si>
  <si>
    <t>DMF</t>
  </si>
  <si>
    <t>2,2'-Diethoxy-1,1'-binaphthalene-4,4',6,6'-tetrabenzoate</t>
  </si>
  <si>
    <t>C(C)OC1=C(C2=CC=C(C=C2C(=C1)C1=CC=CC=C1C(=O)O)C1=CC=CC=C1C(=O)O)C1=C(C=C(C2=CC(=CC=C12)C1=CC=CC=C1C(=O)O)C1=CC=CC=C1C(=O)O)OCC</t>
  </si>
  <si>
    <t>VETMIS</t>
  </si>
  <si>
    <t xml:space="preserve">http://dx.doi.org/10.1002/chem.201203093 </t>
  </si>
  <si>
    <t xml:space="preserve">https://www.ccdc.cam.ac.uk/structures/Search?Ccdcid=VETMIS&amp;DatabaseToSearch=Published </t>
  </si>
  <si>
    <t>Cu(NO₃)₂·3H₂O</t>
  </si>
  <si>
    <t xml:space="preserve">H₆L </t>
  </si>
  <si>
    <t>6,6',6'',6'''-((5'-(4-(bis(6-carboxynaphthalen-2-yl)amine)phenyl)-[1,1':3',1''-terphenyl]-4,4''-diyl)bis(azanetri-yl))-tetrakis(2-naphthoate)</t>
  </si>
  <si>
    <t>C(=O)(O)C=1C=C2C=CC(=CC2=CC1)N(C1=CC=C(C=C1)C=1C=C(C=C(C1)C1=CC=C(C=C1)N(C=1C=C2C=CC(=CC2=CC1)C(=O)O)C=1C=C2C=CC(=CC2=CC1)C(=O)O)C1=CC=C(C=C1)N(C=1C=C2C=CC(=CC2=CC1)C(=O)O)C=1C=C2C=CC(=CC2=CC1)C(=O)O)C1=CC2=CC=C(C=C2C=C1)C(=O)O</t>
  </si>
  <si>
    <t>BAZFUF</t>
  </si>
  <si>
    <t xml:space="preserve">http://dx.doi.org/10.1021/ic201376t </t>
  </si>
  <si>
    <t xml:space="preserve">https://www.ccdc.cam.ac.uk/structures/Search?Ccdcid=BAZFUF&amp;DatabaseToSearch=Published </t>
  </si>
  <si>
    <t>NMP</t>
  </si>
  <si>
    <t>H₃BBC</t>
  </si>
  <si>
    <t>50446-44-1</t>
  </si>
  <si>
    <t>1,3,5-tris(4-Carboxyphenyl)benzene</t>
  </si>
  <si>
    <t>["1,3,5-tris(4-Carboxyphenyl)benzene", "1,3,5-tris(4-carboxylatephenyl)benzene", "benzene-1,3,4-tribenzoate", "4,4',4''-benzene-1,3,5-tribenzoate"]</t>
  </si>
  <si>
    <t>C(=O)(O)C1=CC=C(C=C1)C1=CC(=CC(=C1)C1=CC=C(C=C1)C(=O)O)C1=CC=C(C=C1)C(=O)O</t>
  </si>
  <si>
    <t>XtalPi Inc</t>
  </si>
  <si>
    <t>BAZFUF01</t>
  </si>
  <si>
    <t>DUT-23(Cu)</t>
  </si>
  <si>
    <t xml:space="preserve">http://dx.doi.org/10.1002/chem.201101383 </t>
  </si>
  <si>
    <t>EtOH</t>
  </si>
  <si>
    <t>955050-88-1</t>
  </si>
  <si>
    <t>benzene-1,3,5-tribenzoate</t>
  </si>
  <si>
    <t>["benzene-1,3,5-tribenzoate", "1,3,5-benzenetribenzoate"]</t>
  </si>
  <si>
    <t>C1(=CC(=CC(=C1)C1=CC=CC=C1C(=O)O)C1=CC=CC=C1C(=O)O)C1=CC=CC=C1C(=O)O</t>
  </si>
  <si>
    <t>Manchester Organics</t>
  </si>
  <si>
    <t>bipy</t>
  </si>
  <si>
    <t>4,4′-bipyridine</t>
  </si>
  <si>
    <t>OMUSAS</t>
  </si>
  <si>
    <t>truMOF-2</t>
  </si>
  <si>
    <t xml:space="preserve">http://dx.doi.org/10.1021/jacs.6b01345 </t>
  </si>
  <si>
    <t xml:space="preserve">https://www.ccdc.cam.ac.uk/structures/Search?Ccdcid=OMUSAS&amp;DatabaseToSearch=Published </t>
  </si>
  <si>
    <t>MeOH</t>
  </si>
  <si>
    <t>Zn(NO₃)₂·4H₂O</t>
  </si>
  <si>
    <t>H₃L</t>
  </si>
  <si>
    <t>4,4',4''-(5,5,10,10,15,15-hexaethyl-10,15-dihydro-5H-diindeno[1,2-a:1',2'-c]fluorene-2,7,12-triyl)tribenzoate</t>
  </si>
  <si>
    <t>C(C)C1(C2=CC(=CC=C2C=2C1=C1C(=C3C=4C=CC(=CC4C(C23)(CC)CC)C2=CC=C(C(=O)O)C=C2)C(C2=CC(=CC=C21)C2=CC=C(C(=O)O)C=C2)(CC)CC)C2=CC=C(C(=O)O)C=C2)CC</t>
  </si>
  <si>
    <t>OWIZAW</t>
  </si>
  <si>
    <t>MOF-4</t>
  </si>
  <si>
    <t xml:space="preserve">http://dx.doi.org/10.1021/ic1009169 </t>
  </si>
  <si>
    <t xml:space="preserve">https://www.ccdc.cam.ac.uk/structures/Search?Ccdcid=OWIZAW&amp;DatabaseToSearch=Published </t>
  </si>
  <si>
    <t>DEF</t>
  </si>
  <si>
    <t>Cu(NO3)2·2.5H2O</t>
  </si>
  <si>
    <t>4,4',4'',4'''-(Methanetetrayltetrakis(benzene-4,1-diylethyne-2,1-diyl))tetrabenzoate</t>
  </si>
  <si>
    <t>C(C1=CC=C(C=C1)C#CC1=CC=C(C(=O)O)C=C1)(C1=CC=C(C=C1)C#CC1=CC=C(C(=O)O)C=C1)(C1=CC=C(C=C1)C#CC1=CC=C(C(=O)O)C=C1)C1=CC=C(C=C1)C#CC1=CC=C(C(=O)O)C=C1</t>
  </si>
  <si>
    <t>ADATIK</t>
  </si>
  <si>
    <t>MOF-8</t>
  </si>
  <si>
    <t xml:space="preserve">http://dx.doi.org/10.1002/anie.201201202 </t>
  </si>
  <si>
    <t xml:space="preserve">https://www.ccdc.cam.ac.uk/structures/Search?Ccdcid=ADATIK&amp;DatabaseToSearch=Published </t>
  </si>
  <si>
    <t>H₃L4</t>
  </si>
  <si>
    <t>5'-(4-(1H-tetrazol-5-yl)benzamide)benzene-1,3-dioate</t>
  </si>
  <si>
    <t>N=1NN=NC1C1=CC=C(C(=O)NC=2C=C(C=C(C2)C(=O)O)C(=O)O)C=C1</t>
  </si>
  <si>
    <t>MEHMET</t>
  </si>
  <si>
    <t>NU-111</t>
  </si>
  <si>
    <t xml:space="preserve">http://dx.doi.org/10.1021/ja302623w </t>
  </si>
  <si>
    <t xml:space="preserve">https://www.ccdc.cam.ac.uk/structures/Search?Ccdcid=MEHMET&amp;DatabaseToSearch=Published </t>
  </si>
  <si>
    <t>HCl</t>
  </si>
  <si>
    <t>LH₆(3)</t>
  </si>
  <si>
    <t>1,3,5-tris(4-(3,5-Dicarboxylatephenyl)buta-1,3-diyn-1-yl)benzene</t>
  </si>
  <si>
    <t>C(=O)(O)C=1C=C(C=C(C1)C(=O)O)C#CC#CC1=CC(=CC(=C1)C#CC#CC1=CC(=CC(=C1)C(=O)O)C(=O)O)C#CC#CC1=CC(=CC(=C1)C(=O)O)C(=O)O</t>
  </si>
  <si>
    <t>YIPDOR</t>
  </si>
  <si>
    <t xml:space="preserve">http://dx.doi.org/10.1039/b709563e </t>
  </si>
  <si>
    <t xml:space="preserve">https://www.ccdc.cam.ac.uk/structures/Search?Ccdcid=YIPDOR&amp;DatabaseToSearch=Published </t>
  </si>
  <si>
    <t>L</t>
  </si>
  <si>
    <t>7664-38-2</t>
  </si>
  <si>
    <t>phosphate</t>
  </si>
  <si>
    <t>["dihydrogen_phosphate", "phosphito", "Hydrogenphosphate", "phosphate"]</t>
  </si>
  <si>
    <t>P(=O)(O)(O)O</t>
  </si>
  <si>
    <t>ABCR</t>
  </si>
  <si>
    <t>PODKUQ</t>
  </si>
  <si>
    <t xml:space="preserve">http://dx.doi.org/10.1021/cm404155s </t>
  </si>
  <si>
    <t xml:space="preserve">https://www.ccdc.cam.ac.uk/structures/Search?Ccdcid=PODKUQ&amp;DatabaseToSearch=Published </t>
  </si>
  <si>
    <t>L4</t>
  </si>
  <si>
    <t>1,3,5-tris(4-(1-(3,5-dicarboxylatephenyl)-1,2,3-triazol-4-yl)phenyl)phenyl</t>
  </si>
  <si>
    <t>C(=O)(O)C=1C=C(C=C(C1)C(=O)O)N1N=NC(=C1)C1=CC=C(C=C1)[C]1CC(=CC(=C1)C1=CC=C(C=C1)C=1N=NN(C1)C1=CC(=CC(=C1)C(=O)O)C(=O)O)C1=CC=C(C=C1)C=1N=NN(C1)C1=CC(=CC(=C1)C(=O)O)C(=O)O</t>
  </si>
  <si>
    <t>GUHMIH</t>
  </si>
  <si>
    <t xml:space="preserve">http://dx.doi.org/10.1039/C5RA06204G </t>
  </si>
  <si>
    <t xml:space="preserve">https://www.ccdc.cam.ac.uk/structures/Search?Ccdcid=GUHMIH&amp;DatabaseToSearch=Published </t>
  </si>
  <si>
    <t>CuSO₄·5H₂O</t>
  </si>
  <si>
    <t>3-dpye</t>
  </si>
  <si>
    <t>49807-92-3</t>
  </si>
  <si>
    <t>1,2-bis(3-Pyridinecarboxamido)ethane</t>
  </si>
  <si>
    <t>["N,N'-ethane-1,2-diyldinico", "1,2-bis(3-Pyridinecarboxamide)ethane"]</t>
  </si>
  <si>
    <t>N1=CC(=CC=C1)C(=O)NCCNC(=O)C=1C=NC=CC1</t>
  </si>
  <si>
    <t>Ochem Incorporation</t>
  </si>
  <si>
    <t>K₆P₂W₁₈O₆₂·15H₂O</t>
  </si>
  <si>
    <t>Oakwood Chemical</t>
  </si>
  <si>
    <t>WAGQAY</t>
  </si>
  <si>
    <t xml:space="preserve">http://dx.doi.org/10.1002/anie.201001735 </t>
  </si>
  <si>
    <t xml:space="preserve">https://www.ccdc.cam.ac.uk/structures/Search?Ccdcid=WAGQAY&amp;DatabaseToSearch=Published </t>
  </si>
  <si>
    <t>Ni(NO₃)₂·6H₂O</t>
  </si>
  <si>
    <t>H₃btb</t>
  </si>
  <si>
    <t>["4,4',4''-Benzene-1,3,5-triyltris(benzoate)", "4,4',4''-(benzene-1,3,5-triyl)tribenzoateo", "4,4',4''-benzene-1,3,5-triylbenzoate", "4,4',4''-Benzene-1,3,5-triyltribenzoate", "benzene-1,3,5-tris(4-benzoate)", "4,4',4''-(1,3,5-triphenylene)-tribenzoate", "1,3,5-tris(4-Carbxoylatephenyl)benzene", "4,4',4''-(Benzene-1,3,5-triyl)tribenzoate", "Benzene-1,3,5-tris(phenyl-4-carboxylate)", "(Benzene-1,3,5-triyl)-4,4',4''-tribenzoate", "Benzene-1,3,5-tris(4-benzoate)"]</t>
  </si>
  <si>
    <t>C1(=CC(=CC(=C1)C1=CC=C(C(=O)O)C=C1)C1=CC=C(C(=O)O)C=C1)C1=CC=C(C(=O)O)C=C1</t>
  </si>
  <si>
    <t>ADASEF</t>
  </si>
  <si>
    <t>MOF-3</t>
  </si>
  <si>
    <t xml:space="preserve">https://www.ccdc.cam.ac.uk/structures/Search?Ccdcid=ADASEF&amp;DatabaseToSearch=Published </t>
  </si>
  <si>
    <t>1159595-96-6</t>
  </si>
  <si>
    <t>5-[4-(2H-tetrazol-5-yl)phenyl]benzene-1,3-dicarboxylate</t>
  </si>
  <si>
    <t>["4'-(1H-tetrazol-5-yl)biphenyl-3,5-dicarboxylate"]</t>
  </si>
  <si>
    <t>N1N=NN=C1C1=CC=C(C=C1)C1=CC(=CC(=C1)C(=O)O)C(=O)O</t>
  </si>
  <si>
    <t>Accela ChemBio</t>
  </si>
  <si>
    <t>EPOTAF</t>
  </si>
  <si>
    <t>SNU-21</t>
  </si>
  <si>
    <t xml:space="preserve">http://dx.doi.org/10.1039/c0cc05199c </t>
  </si>
  <si>
    <t xml:space="preserve">https://www.ccdc.cam.ac.uk/structures/Search?Ccdcid=EPOTAF&amp;DatabaseToSearch=Published </t>
  </si>
  <si>
    <t>H4TCM</t>
  </si>
  <si>
    <t>245551-35-3</t>
  </si>
  <si>
    <t>4,4'-[{2,2-bis[(4-carboxylatophenoxy)methyl]propane-1,3-diyl}bis(oxy)]dibenzoate</t>
  </si>
  <si>
    <t>["4-(3-(4-Carboxylatephenoxy)-2,2-bis((4-carboxyphenoxy)methyl)propoxy)benzoate", "4-(3-(4-carboxylatephenoxy)-2,2-bis((4-carboxyphenoxy)methyl)propoxy)benzoate", "4-(3-(4-carboxylatephenoxy)-2,2-bis[(4-carboxylatephenoxy)methyl]propoxy)benzoate", "tetrakis[4-(carboxylatephenoxy)methyl]methane", "4-(3-(4-Carboxyphenoxy)-2,2-bis((4-carboxyphenoxy)methyl)propoxy)benzoate"]</t>
  </si>
  <si>
    <t>C(=O)(O)C1=CC=C(OCC(COC2=CC=C(C(=O)O)C=C2)(COC2=CC=C(C=C2)C(=O)O)COC2=CC=C(C=C2)C(=O)O)C=C1</t>
  </si>
  <si>
    <t>FAGQAI</t>
  </si>
  <si>
    <t>TCM-10</t>
  </si>
  <si>
    <t xml:space="preserve">http://dx.doi.org/10.1002/ejic.201501194 </t>
  </si>
  <si>
    <t xml:space="preserve">https://www.ccdc.cam.ac.uk/structures/Search?Ccdcid=FAGQAI&amp;DatabaseToSearch=Published </t>
  </si>
  <si>
    <t>BTEB (C₃₀H₁₅O₆)</t>
  </si>
  <si>
    <t>205383-17-1</t>
  </si>
  <si>
    <t>4,4',4''-(Benzene-1,3,5-triyltriethyne-2,1-diyl)tribenzoate</t>
  </si>
  <si>
    <t>["4,4',4''-(Benzene-1,3,5-triyltriethyne-2,1-diyl)tribenzoate", "1,3,5-tris((4-carboxylatephenyl)ethynyl)benzene", "benzene-1,3,5-triyl-tris(ethyne-2,1-diyl)]tribenzoate", "4,4',4''-[benzene-1,3,5-triyl-tris(ethyne-2,1-diyl)]tribenzoate", "4,4',4''-(benzene-1,3,5-triyl-tris(ethyne-2,1-diyl)tribenzoate)"]</t>
  </si>
  <si>
    <t>C1(=CC(=CC(=C1)C#CC1=CC=C(C(=O)O)C=C1)C#CC1=CC=C(C(=O)O)C=C1)C#CC1=CC=C(C(=O)O)C=C1</t>
  </si>
  <si>
    <t>DICKEH</t>
  </si>
  <si>
    <t>NJU-Bai12</t>
  </si>
  <si>
    <t xml:space="preserve">http://dx.doi.org/10.1021/ic302018g </t>
  </si>
  <si>
    <t xml:space="preserve">https://www.ccdc.cam.ac.uk/structures/Search?Ccdcid=DICKEH&amp;DatabaseToSearch=Published </t>
  </si>
  <si>
    <t>CuCl₂·2H₂O</t>
  </si>
  <si>
    <t>PDEB</t>
  </si>
  <si>
    <t>957014-40-3</t>
  </si>
  <si>
    <t>5-[2-[4-[2-(3,5-dicarboxyphenyl)ethynyl]phenyl]ethynyl]benzene-1,3-dicarboxylate</t>
  </si>
  <si>
    <t>["5,5'-(1,4-Phenylenediethyne-2,1-diyl)diisophthalate"]</t>
  </si>
  <si>
    <t>C1(=CC=C(C=C1)C#CC=1C=C(C=C(C(=O)O)C1)C(=O)O)C#CC=1C=C(C=C(C(=O)O)C1)C(=O)O</t>
  </si>
  <si>
    <t>BINSAU</t>
  </si>
  <si>
    <t xml:space="preserve">http://dx.doi.org/10.1021/ic401870e </t>
  </si>
  <si>
    <t xml:space="preserve">https://www.ccdc.cam.ac.uk/structures/Search?Ccdcid=BINSAU&amp;DatabaseToSearch=Published </t>
  </si>
  <si>
    <t>Mn(NO₃)₂·4H₂O</t>
  </si>
  <si>
    <t>H₃BTN</t>
  </si>
  <si>
    <t>138916-83-3</t>
  </si>
  <si>
    <t>6-[3,5-bis(6-carboxynaphthalen-2-yl)phenyl]naphthalene-2-carboxylate</t>
  </si>
  <si>
    <t>["6,6',6''-Benzene-1,3,5-triyltrinaphthalene-2-carboxylate", "6,6',6''-benzene-1,3,5-triyltri(2-naphthoate)", "6',6''-benzene-1,3,5-triyltri(naphthalene-2-carboxylate)", "6,6',6''-Benzene-1,3,5-triyltris(2-naphthoate)"]</t>
  </si>
  <si>
    <t>C1(=CC(=CC(=C1)C=1C=C2C=CC(=CC2=CC1)C(=O)O)C=1C=C2C=CC(=CC2=CC1)C(=O)O)C=1C=C2C=CC(=CC2=CC1)C(=O)O</t>
  </si>
  <si>
    <t>BLD Pharmatech GmbH</t>
  </si>
  <si>
    <t>WIJXIY</t>
  </si>
  <si>
    <t xml:space="preserve">http://dx.doi.org/10.1016/j.jssc.2013.08.026 </t>
  </si>
  <si>
    <t xml:space="preserve">https://www.ccdc.cam.ac.uk/structures/Search?Ccdcid=WIJXIY&amp;DatabaseToSearch=Published </t>
  </si>
  <si>
    <t>Zn(NO₃)₂·6H₂O</t>
  </si>
  <si>
    <t>2,7-H₂CDC</t>
  </si>
  <si>
    <t>1409971-87-4</t>
  </si>
  <si>
    <t>9H-carbazole-2,7-dicarboxylate</t>
  </si>
  <si>
    <t>["9H-Carbazole-2,7-dicarboxylate"]</t>
  </si>
  <si>
    <t>C1=C(C=CC=2C3=CC=C(C=C3NC12)C(=O)O)C(=O)O</t>
  </si>
  <si>
    <t>BINROH</t>
  </si>
  <si>
    <t>UTSA-28-Cu</t>
  </si>
  <si>
    <t xml:space="preserve">https://www.ccdc.cam.ac.uk/structures/Search?Ccdcid=BINROH&amp;DatabaseToSearch=Published </t>
  </si>
  <si>
    <t>HOVQAM</t>
  </si>
  <si>
    <t xml:space="preserve">http://dx.doi.org/10.1016/j.poly.2015.01.039 </t>
  </si>
  <si>
    <t xml:space="preserve">https://www.ccdc.cam.ac.uk/structures/Search?Ccdcid=HOVQAM&amp;DatabaseToSearch=Published </t>
  </si>
  <si>
    <t>atmosferik/terbuka</t>
  </si>
  <si>
    <t>NaOH</t>
  </si>
  <si>
    <t>Co(ClO₄)₂·6H₂O</t>
  </si>
  <si>
    <t>HL</t>
  </si>
  <si>
    <t>1-(imidazol-1-yl)-4-(imidazol-4-yl)benzene</t>
  </si>
  <si>
    <t>N1(C=NC=C1)C1=CC=C(C=C1)C=1N=CNC1</t>
  </si>
  <si>
    <t>GAHWIX</t>
  </si>
  <si>
    <t xml:space="preserve">http://dx.doi.org/10.1039/c0nj00272k </t>
  </si>
  <si>
    <t xml:space="preserve">https://www.ccdc.cam.ac.uk/structures/Search?Ccdcid=GAHWIX&amp;DatabaseToSearch=Published </t>
  </si>
  <si>
    <t>Zn(NO3)2·6H2O</t>
  </si>
  <si>
    <t>H3L3H2O</t>
  </si>
  <si>
    <t>120360-51-2</t>
  </si>
  <si>
    <t>4-[[3,5-bis[(4-carboxyphenyl)carbamoyl]benzoyl]amino]benzoate</t>
  </si>
  <si>
    <t>["4,4',4''-(benzene-1,3,5-triyltris(carbonylimino))tribenzoate", "4,4',4''-[1,3,5-benzenetriyltris(carbonylimino)]tribenzoate"]</t>
  </si>
  <si>
    <t>C1(=CC(=CC(=C1)C(=O)NC1=CC=C(C(=O)O)C=C1)C(=O)NC1=CC=C(C(=O)O)C=C1)C(=O)NC1=CC=C(C(=O)O)C=C1</t>
  </si>
  <si>
    <t>ANUGOG</t>
  </si>
  <si>
    <t>UMCM-153</t>
  </si>
  <si>
    <t xml:space="preserve">http://dx.doi.org/10.1021/ja107423k </t>
  </si>
  <si>
    <t xml:space="preserve">https://www.ccdc.cam.ac.uk/structures/Search?Ccdcid=ANUGOG&amp;DatabaseToSearch=Published </t>
  </si>
  <si>
    <t>Cu(NO3)2 · 2.5H2O</t>
  </si>
  <si>
    <t>(H2)</t>
  </si>
  <si>
    <t>1250980-04-1</t>
  </si>
  <si>
    <t>5-[3,5-bis(4-carboxyphenyl)phenyl]benzene-1,3-dicarboxylate</t>
  </si>
  <si>
    <t>["5-(3,5-bis(4-carboxyphenyl)phenyl)benzene-1,3-dicarboxylate"]</t>
  </si>
  <si>
    <t>C(=O)(O)C1=CC=C(C=C1)C=1C=C(C=C(C1)C1=CC=C(C=C1)C(=O)O)C=1C=C(C=C(C1)C(=O)O)C(=O)O</t>
  </si>
  <si>
    <t>ANUGIA</t>
  </si>
  <si>
    <t>UMCM-152</t>
  </si>
  <si>
    <t xml:space="preserve">https://www.ccdc.cam.ac.uk/structures/Search?Ccdcid=ANUGIA&amp;DatabaseToSearch=Published </t>
  </si>
  <si>
    <t>(H43)</t>
  </si>
  <si>
    <t>LIKDOA</t>
  </si>
  <si>
    <t>ZJU-36</t>
  </si>
  <si>
    <t xml:space="preserve">http://dx.doi.org/10.1002/chem.201302515 </t>
  </si>
  <si>
    <t xml:space="preserve">https://www.ccdc.cam.ac.uk/structures/Search?Ccdcid=LIKDOA&amp;DatabaseToSearch=Published </t>
  </si>
  <si>
    <t>Cu(NO3)2·3H2O</t>
  </si>
  <si>
    <t>H₃L₁</t>
  </si>
  <si>
    <t>3,5-bis(2-carboxylateethenyl)benzoate</t>
  </si>
  <si>
    <t>C(=O)(O)C=CC=1C=C(C(=O)O)C=C(C1)C=CC(=O)O</t>
  </si>
  <si>
    <t>PELRIJ</t>
  </si>
  <si>
    <t xml:space="preserve">http://dx.doi.org/10.1039/c2ce26015h </t>
  </si>
  <si>
    <t xml:space="preserve">https://www.ccdc.cam.ac.uk/structures/Search?Ccdcid=PELRIJ&amp;DatabaseToSearch=Published </t>
  </si>
  <si>
    <t>Cu(NO₃)₂·6H₂O</t>
  </si>
  <si>
    <t>XAVKIR</t>
  </si>
  <si>
    <t>HHU-1</t>
  </si>
  <si>
    <t>http://dx.doi.org/10.1039/C6QI00616G</t>
  </si>
  <si>
    <t>https://www.ccdc.cam.ac.uk/structures/Search?Ccdcid=XAVKIR&amp;DatabaseToSearch=Published</t>
  </si>
  <si>
    <t>H₄PANAD</t>
  </si>
  <si>
    <t>5,5'-[pyridine-3,5-diylbis(carbonyliminonaphthalene-6,2-diylcarbonylimino)]bis(benzene-1,3-dicarboxylate)</t>
  </si>
  <si>
    <t>O=C(Nc1cc2ccc(cc2cc1)C(=O)Nc1cc(cc(c1)C(=O)O)C(=O)O)c1cc(cnc1)C(=O)Nc1cc2ccc(cc2cc1)C(=O)Nc1cc(cc(c1)C(=O)O)C(=O)O</t>
  </si>
  <si>
    <t>EBATUZ</t>
  </si>
  <si>
    <t>JLU-Liu29</t>
  </si>
  <si>
    <t xml:space="preserve">http://dx.doi.org/10.1021/acs.cgd.6b01539 </t>
  </si>
  <si>
    <t xml:space="preserve">https://www.ccdc.cam.ac.uk/structures/Search?Ccdcid=EBATUZ&amp;DatabaseToSearch=Published </t>
  </si>
  <si>
    <t>CuI</t>
  </si>
  <si>
    <t>H4bdfdpa</t>
  </si>
  <si>
    <t>5-(6-(3,5-dicarboxylatephenyl)-s-indacen-2-yl)isophthalate</t>
  </si>
  <si>
    <t>C(=O)(O)C=1C=C(C=C(C1)C(=O)O)C1=CC2=CC3=CC(=CC3=CC2=C1)C=1C=C(C=C(C(=O)O)C1)C(=O)O</t>
  </si>
  <si>
    <t>PEWLUA</t>
  </si>
  <si>
    <t>NOTT-122</t>
  </si>
  <si>
    <t xml:space="preserve">http://dx.doi.org/10.1039/C3SC21769H </t>
  </si>
  <si>
    <t xml:space="preserve">https://www.ccdc.cam.ac.uk/structures/Search?Ccdcid=PEWLUA&amp;DatabaseToSearch=Published </t>
  </si>
  <si>
    <t>H6BTTI</t>
  </si>
  <si>
    <t>1,3,5-tris(1-(3,5-dicarboxyphenyl)-1H-1,2,3-triazol-4-yl)benzene</t>
  </si>
  <si>
    <t>C(=O)(O)C=1C=C(C=C(C1)C(=O)O)N1N=NC(=C1)C1=CC(=CC(=C1)C=1N=NN(C1)C1=CC(=CC(=C1)C(=O)O)C(=O)O)C=1N=NN(C1)C1=CC(=CC(=C1)C(=O)O)C(=O)O</t>
  </si>
  <si>
    <t>SUKYIH</t>
  </si>
  <si>
    <t xml:space="preserve">http://dx.doi.org/10.1002/anie.200904983 </t>
  </si>
  <si>
    <t xml:space="preserve">https://www.ccdc.cam.ac.uk/structures/Search?Ccdcid=SUKYIH&amp;DatabaseToSearch=Published </t>
  </si>
  <si>
    <t>L1-H4</t>
  </si>
  <si>
    <t>160248-28-2</t>
  </si>
  <si>
    <t>4-[tris(4-carboxyphenyl)methyl]benzoate</t>
  </si>
  <si>
    <t>["tetrakis(4-Carboxyphenyl)methane", "4,4',4'',4'''-Methanetetrayltetrabenzoate"]</t>
  </si>
  <si>
    <t>C(=O)(O)C1=CC=C(C=C1)C(C1=CC=C(C=C1)C(=O)O)(C1=CC=C(C=C1)C(=O)O)C1=CC=C(C=C1)C(=O)O</t>
  </si>
  <si>
    <t>HULCOI</t>
  </si>
  <si>
    <t xml:space="preserve">http://dx.doi.org/10.1016/j.poly.2015.06.001 </t>
  </si>
  <si>
    <t xml:space="preserve">https://www.ccdc.cam.ac.uk/structures/Search?Ccdcid=HULCOI&amp;DatabaseToSearch=Published </t>
  </si>
  <si>
    <t>H6-1</t>
  </si>
  <si>
    <t>5,5',5''-(benzene-1,3,5-triyltris(carbamoylimino))triisophthalate</t>
  </si>
  <si>
    <t>C1(=CC(=CC(=C1)N(C(N)=O)C=1C=C(C=C(C(=O)O)C1)C(=O)O)N(C(N)=O)C=1C=C(C=C(C(=O)O)C1)C(=O)O)N(C(N)=O)C=1C=C(C=C(C(=O)O)C1)C(=O)O</t>
  </si>
  <si>
    <t>NAWXER</t>
  </si>
  <si>
    <t xml:space="preserve">http://dx.doi.org/10.1021/acs.cgd.7b00068 </t>
  </si>
  <si>
    <t xml:space="preserve">https://www.ccdc.cam.ac.uk/structures/Search?Ccdcid=NAWXER&amp;DatabaseToSearch=Published </t>
  </si>
  <si>
    <t>H4TCPP</t>
  </si>
  <si>
    <t>2089016-10-2</t>
  </si>
  <si>
    <t>4-[3,5,6-tris(4-carboxyphenyl)pyrazin-2-yl]benzoate</t>
  </si>
  <si>
    <t>["4,4',4'',4'''-pyrazine-2,3,5,6-tetrabenzoate"]</t>
  </si>
  <si>
    <t>C(=O)(O)C1=CC=C(C=C1)C=1C(=NC(=C(N1)C1=CC=C(C=C1)C(=O)O)C1=CC=C(C=C1)C(=O)O)C1=CC=C(C(=O)O)C=C1</t>
  </si>
  <si>
    <t>RUVKAV</t>
  </si>
  <si>
    <t xml:space="preserve">http://dx.doi.org/10.1021/cg100046j </t>
  </si>
  <si>
    <t xml:space="preserve">https://www.ccdc.cam.ac.uk/structures/Search?Ccdcid=RUVKAV&amp;DatabaseToSearch=Published </t>
  </si>
  <si>
    <t>1239608-21-9</t>
  </si>
  <si>
    <t>5-[4-(3,5-dicarboxyphenyl)buta-1,3-diynyl]benzene-1,3-dicarboxylate</t>
  </si>
  <si>
    <t>["5,5'-(Butadiyne-1,4-diyl)diisophthalate", "1,4-bis(3,5-Dicarboxylatephenyl)buta-1,3-diyne"]</t>
  </si>
  <si>
    <t>C(#CC#CC=1C=C(C=C(C(=O)O)C1)C(=O)O)C=1C=C(C=C(C(=O)O)C1)C(=O)O</t>
  </si>
  <si>
    <t>FATQID</t>
  </si>
  <si>
    <t>JLU-Liu39</t>
  </si>
  <si>
    <t xml:space="preserve">http://dx.doi.org/10.1039/C7DT00192D </t>
  </si>
  <si>
    <t xml:space="preserve">https://www.ccdc.cam.ac.uk/structures/Search?Ccdcid=FATQID&amp;DatabaseToSearch=Published </t>
  </si>
  <si>
    <t>H₂L</t>
  </si>
  <si>
    <t>171820-04-5</t>
  </si>
  <si>
    <t>3,5-bis(4-carboxylatophenyl)pyridine</t>
  </si>
  <si>
    <t>["3,5-bis(4-carboxylatephenyl)pyridine"]</t>
  </si>
  <si>
    <t>C(=O)(O)C1=CC=C(C=C1)C=1C=NC=C(C1)C1=CC=C(C=C1)C(=O)O</t>
  </si>
  <si>
    <t>NUBPIL</t>
  </si>
  <si>
    <t xml:space="preserve">http://dx.doi.org/10.1039/C4DT03371J </t>
  </si>
  <si>
    <t xml:space="preserve">https://www.ccdc.cam.ac.uk/structures/Search?Ccdcid=NUBPIL&amp;DatabaseToSearch=Published </t>
  </si>
  <si>
    <t>1643586-52-0</t>
  </si>
  <si>
    <t>5-(1H-imidazole-1-yl)benzene-1,3-dicarboxylate</t>
  </si>
  <si>
    <t>["5-(1H-Imidazol-1-yl)isophthalate"]</t>
  </si>
  <si>
    <t>N1(C=NC=C1)C=1C=C(C=C(C(=O)O)C1)C(=O)O</t>
  </si>
  <si>
    <t>AmBeed</t>
  </si>
  <si>
    <t>ADASUV</t>
  </si>
  <si>
    <t>rht-MOF-4c</t>
  </si>
  <si>
    <t xml:space="preserve">https://www.ccdc.cam.ac.uk/structures/Search?Ccdcid=ADASUV&amp;DatabaseToSearch=Published </t>
  </si>
  <si>
    <t>Co(NO₃)₂·6H₂O</t>
  </si>
  <si>
    <t>H₆tL₁</t>
  </si>
  <si>
    <t>5,5',5''-(Benzene-1,3,5-triyltris(methyleneoxy))-tri-isophthalate</t>
  </si>
  <si>
    <t>C1(=CC(=CC(=C1)COC=1C=C(C=C(C(=O)O)C1)C(=O)O)COC=1C=C(C=C(C(=O)O)C1)C(=O)O)COC=1C=C(C=C(C(=O)O)C1)C(=O)O</t>
  </si>
  <si>
    <t>ENESOH</t>
  </si>
  <si>
    <t xml:space="preserve">http://dx.doi.org/10.1039/C6CE01035K </t>
  </si>
  <si>
    <t xml:space="preserve">https://www.ccdc.cam.ac.uk/structures/Search?Ccdcid=ENESOH&amp;DatabaseToSearch=Published </t>
  </si>
  <si>
    <t>TAAP</t>
  </si>
  <si>
    <t>N-pyridin-3-yl-2-(tetrazol-1-yl)acetamide</t>
  </si>
  <si>
    <t>["N-(pyridin-3-yl)-2-(1H-tetrazol-1-yl)acetamide"]</t>
  </si>
  <si>
    <t>N1=CC(=CC=C1)NC(CN1N=NN=C1)=O</t>
  </si>
  <si>
    <t>Enamine</t>
  </si>
  <si>
    <t>(NH₄)₆Mo₇O₂₄·4H₂O</t>
  </si>
  <si>
    <t>ADASOP</t>
  </si>
  <si>
    <t>rht-MOF-4b</t>
  </si>
  <si>
    <t xml:space="preserve">https://www.ccdc.cam.ac.uk/structures/Search?Ccdcid=ADASOP&amp;DatabaseToSearch=Published </t>
  </si>
  <si>
    <t>98036-00-1</t>
  </si>
  <si>
    <t>ZIQJEQ</t>
  </si>
  <si>
    <t xml:space="preserve">http://dx.doi.org/10.1002/asia.201301378 </t>
  </si>
  <si>
    <t xml:space="preserve">https://www.ccdc.cam.ac.uk/structures/Search?Ccdcid=ZIQJEQ&amp;DatabaseToSearch=Published </t>
  </si>
  <si>
    <t>BBTZ</t>
  </si>
  <si>
    <t>143131-66-2</t>
  </si>
  <si>
    <t>1,1'-(1,4-phenylenebis(methylene))bis(1H-1,2,4-triazole)</t>
  </si>
  <si>
    <t>["1,4-bis(1,2,4-triazol-1-ylmethyl)benzene", "1,1'-(1,4-phenylenebis(methylene))bis(1H-1,2,4-triazole)"]</t>
  </si>
  <si>
    <t>C1(=CC=C(C=C1)CN1N=CN=C1)CN1N=CN=C1</t>
  </si>
  <si>
    <t>ADASIJ</t>
  </si>
  <si>
    <t xml:space="preserve">https://www.ccdc.cam.ac.uk/structures/Search?Ccdcid=ADASIJ&amp;DatabaseToSearch=Published </t>
  </si>
  <si>
    <t>MAYKOO</t>
  </si>
  <si>
    <t xml:space="preserve">http://dx.doi.org/10.1021/ic300950h </t>
  </si>
  <si>
    <t xml:space="preserve">https://www.ccdc.cam.ac.uk/structures/Search?Ccdcid=MAYKOO&amp;DatabaseToSearch=Published </t>
  </si>
  <si>
    <t>Dioxane</t>
  </si>
  <si>
    <t>1263218-51-4</t>
  </si>
  <si>
    <t>1,1':3',1''-Terphenyl-4,4'',5'-tricarboxylate</t>
  </si>
  <si>
    <t>["1,1':3',1''-Terphenyl-4,4'',5'-tricarboxylate"]</t>
  </si>
  <si>
    <t>C1(=CC=C(C=C1)C(=O)O)C1=CC(=CC(=C1)C(=O)O)C1=CC=C(C=C1)C(=O)O</t>
  </si>
  <si>
    <t>DABCO</t>
  </si>
  <si>
    <t>280-57-9</t>
  </si>
  <si>
    <t>1,4-diazabicyclo[2.2.2]octane</t>
  </si>
  <si>
    <t>["1,4-diazabicyclo[2.2.2]octane", "1,4-diazabicyclo(2.2.0)octane", "1,4-diazabicyclo(2.2.2)octane"]</t>
  </si>
  <si>
    <t>N12CCN(CC1)CC2</t>
  </si>
  <si>
    <t>Apollo Scientific US</t>
  </si>
  <si>
    <t>ZOFZOL</t>
  </si>
  <si>
    <t xml:space="preserve">http://dx.doi.org/10.1039/C4QI00047A </t>
  </si>
  <si>
    <t xml:space="preserve">https://www.ccdc.cam.ac.uk/structures/Search?Ccdcid=ZOFZOL&amp;DatabaseToSearch=Published </t>
  </si>
  <si>
    <t>AcOH</t>
  </si>
  <si>
    <t>H₄TADIP</t>
  </si>
  <si>
    <t>1403744-65-9</t>
  </si>
  <si>
    <t>5,5'-(1H-1,2,3-triazole-1,4-diyl)diisophthalate</t>
  </si>
  <si>
    <t>N1(N=NC(=C1)C=1C=C(C=C(C(=O)O)C1)C(=O)O)C=1C=C(C=C(C(=O)O)C1)C(=O)O</t>
  </si>
  <si>
    <t>KUJNEJ</t>
  </si>
  <si>
    <t xml:space="preserve">http://dx.doi.org/10.1002/anie.200901964 </t>
  </si>
  <si>
    <t xml:space="preserve">https://www.ccdc.cam.ac.uk/structures/Search?Ccdcid=KUJNEJ&amp;DatabaseToSearch=Published </t>
  </si>
  <si>
    <t>DMA</t>
  </si>
  <si>
    <t>Ni(NO₃)₂·7H₂O</t>
  </si>
  <si>
    <t>4385-76-6</t>
  </si>
  <si>
    <t>4-(4-pyridyl)benzoate</t>
  </si>
  <si>
    <t>["4-(pyridin-4-yl)benzoate", "4-(4-pyridyl)benzoate"]</t>
  </si>
  <si>
    <t>N1=CC=C(C=C1)C1=CC=C(C(=O)O)C=C1</t>
  </si>
  <si>
    <t>1141-38-4</t>
  </si>
  <si>
    <t>2,6-Naphtalenedicarboxylate</t>
  </si>
  <si>
    <t>["Naphthalene-2,6-dicarboxylate", "2,6-Naphtalenedicarboxylate", "2,6-Naphthalenedicarboxylate"]</t>
  </si>
  <si>
    <t>C1=C(C=CC2=CC(=CC=C12)C(=O)O)C(=O)O</t>
  </si>
  <si>
    <t>ZOFZIF</t>
  </si>
  <si>
    <t>http://dx.doi.org/10.1039/C4QI00047A</t>
  </si>
  <si>
    <t>https://www.ccdc.cam.ac.uk/structures/Search?Ccdcid=ZOFZIF&amp;DatabaseToSearch=Published</t>
  </si>
  <si>
    <t>MnCl₂·4H₂O</t>
  </si>
  <si>
    <t>VAKLIF</t>
  </si>
  <si>
    <t xml:space="preserve">http://dx.doi.org/10.1039/C5CE02090E </t>
  </si>
  <si>
    <t xml:space="preserve">https://www.ccdc.cam.ac.uk/structures/Search?Ccdcid=VAKLIF&amp;DatabaseToSearch=Published </t>
  </si>
  <si>
    <t>Triethylamine</t>
  </si>
  <si>
    <t>CdSO₄·8H₂O</t>
  </si>
  <si>
    <t>H₂BDC</t>
  </si>
  <si>
    <t>100-21-0</t>
  </si>
  <si>
    <t>1,4-Benzenedicarboxylate</t>
  </si>
  <si>
    <t>["Terephthalate", "Tetradeuteroterephthalate", "Benzene-1,4-dicarboxylate", "1,4-Benzenedicarboxylate", "terephthtalate"]</t>
  </si>
  <si>
    <t>C1(=CC=C(C=C1)C(=O)O)C(=O)O</t>
  </si>
  <si>
    <t>YOZQEK</t>
  </si>
  <si>
    <t>UoC-2</t>
  </si>
  <si>
    <t xml:space="preserve">http://dx.doi.org/10.1002/chem.200900341 </t>
  </si>
  <si>
    <t xml:space="preserve">https://www.ccdc.cam.ac.uk/structures/Search?Ccdcid=YOZQEK&amp;DatabaseToSearch=Published </t>
  </si>
  <si>
    <t>H₂L2</t>
  </si>
  <si>
    <t>23613-32-3</t>
  </si>
  <si>
    <t>4,4'-bi-benzoate-2,2'-sulfone</t>
  </si>
  <si>
    <t>["5,5-Dioxodibenzo(b,d)thiophene-3,7-dicarboxylate", "4,4'-bi-benzoate-2,2'-sulfone"]</t>
  </si>
  <si>
    <t>O=S1(C2=C(C3=C1C=C(C=C3)C(=O)O)C=CC(=C2)C(=O)O)=O</t>
  </si>
  <si>
    <t>TAGTIH</t>
  </si>
  <si>
    <t>CPM-203</t>
  </si>
  <si>
    <t xml:space="preserve">http://dx.doi.org/10.1021/acs.cgd.5b01297 </t>
  </si>
  <si>
    <t xml:space="preserve">https://www.ccdc.cam.ac.uk/structures/Search?Ccdcid=TAGTIH&amp;DatabaseToSearch=Published </t>
  </si>
  <si>
    <t>DMPU</t>
  </si>
  <si>
    <t>Mg(NO₃)₂·6H₂O</t>
  </si>
  <si>
    <t>H₂FDC</t>
  </si>
  <si>
    <t>3238-40-2</t>
  </si>
  <si>
    <t>furan-2,5-dicarboxylate</t>
  </si>
  <si>
    <t>["furan-2,5-dicarboxylate"]</t>
  </si>
  <si>
    <t>O1C(=CC=C1C(=O)O)C(=O)O</t>
  </si>
  <si>
    <t>MOKVOZ</t>
  </si>
  <si>
    <t xml:space="preserve">http://dx.doi.org/10.1016/j.micromeso.2013.07.019 </t>
  </si>
  <si>
    <t>https://www.ccdc.cam.ac.uk/structures/Search?Ccdcid=MOKVOZ&amp;DatabaseToSearch=Published</t>
  </si>
  <si>
    <t>H₄ADDI</t>
  </si>
  <si>
    <t>5,5'-anthracene-2,6-diyldibenzene-1,3-dicarboxylate</t>
  </si>
  <si>
    <t>C1=C(C=CC2=CC3=CC(=CC=C3C=C12)C=1C=C(C=C(C1)C(=O)O)C(=O)O)C=1C=C(C=C(C1)C(=O)O)C(=O)O</t>
  </si>
  <si>
    <t>JAJZAY</t>
  </si>
  <si>
    <t>ZJU-21</t>
  </si>
  <si>
    <t xml:space="preserve">http://dx.doi.org/10.1039/C6TC05203G </t>
  </si>
  <si>
    <t xml:space="preserve">https://www.ccdc.cam.ac.uk/structures/Search?Ccdcid=JAJZAY&amp;DatabaseToSearch=Published </t>
  </si>
  <si>
    <t>H₄L</t>
  </si>
  <si>
    <t>1627605-35-9</t>
  </si>
  <si>
    <t>5-[4-(3,5-dicarboxyphenyl)-2,1,3-benzothiadiazol-7-yl]benzene-1,3-dicarboxylate</t>
  </si>
  <si>
    <t>["5,5'-(2,1,3-benzothiadiazole-4,7-diyl)di(benzene-1,3-dicarboxylate)", "5,5'-(2,1,3-Benzothiadiazole-4,7-diyl)dibenzene-1,3-dicarboxylate"]</t>
  </si>
  <si>
    <t>N=1SN=C2C1C(=CC=C2C=2C=C(C=C(C2)C(=O)O)C(=O)O)C=2C=C(C=C(C2)C(=O)O)C(=O)O</t>
  </si>
  <si>
    <t>MAQBIS</t>
  </si>
  <si>
    <t xml:space="preserve">http://dx.doi.org/10.1002/ejic.201601242 </t>
  </si>
  <si>
    <t xml:space="preserve">https://www.ccdc.cam.ac.uk/structures/Search?Ccdcid=MAQBIS&amp;DatabaseToSearch=Published </t>
  </si>
  <si>
    <t>2,2',6,6'-tetramethoxybiphenyl-4,4'-dicarboxylate</t>
  </si>
  <si>
    <t>COC1=C(C(=CC(=C1)C(=O)O)OC)C1=C(C=C(C=C1OC)C(=O)O)OC</t>
  </si>
  <si>
    <t>VIXPUP</t>
  </si>
  <si>
    <t>HNUST-3</t>
  </si>
  <si>
    <t xml:space="preserve">http://dx.doi.org/10.1021/cg401180r </t>
  </si>
  <si>
    <t xml:space="preserve">https://www.ccdc.cam.ac.uk/structures/Search?Ccdcid=VIXPUP&amp;DatabaseToSearch=Published </t>
  </si>
  <si>
    <t>H₄BDPO</t>
  </si>
  <si>
    <t>5,5'-((1,2-dioxoethane-1,2-diyl)di-imino)di-isophthalate</t>
  </si>
  <si>
    <t>O=C(C(=O)NC=1C=C(C=C(C(=O)O)C1)C(=O)O)NC=1C=C(C=C(C(=O)O)C1)C(=O)O</t>
  </si>
  <si>
    <t>YUGLES</t>
  </si>
  <si>
    <t xml:space="preserve">http://dx.doi.org/10.1039/B917046D </t>
  </si>
  <si>
    <t xml:space="preserve">https://www.ccdc.cam.ac.uk/structures/Search?Ccdcid=YUGLES&amp;DatabaseToSearch=Published </t>
  </si>
  <si>
    <t>DMSO</t>
  </si>
  <si>
    <t>H₄EBTC</t>
  </si>
  <si>
    <t>957014-38-9</t>
  </si>
  <si>
    <t>5,5'-Ethyne-1,2-diyldibenzene-1,3-dicarboxylate</t>
  </si>
  <si>
    <t>["5,5'-Ethyne-1,2-diyldiisophthalate", "1,1'-(Ethyne-1,2-diyl)benzene-3,3',5,5'-tetracarboxylate", "5,5'-ethyne-1,2-diyldibenzene-1,3-dicarboxylate", "5-[(3-carboxy-5-carboxylatephenyl)ethynyl]benzene-1,3-dicarboxylate", "5,5'-(ethyne-1,2-diyl)-bis(benzene-1,3-dicarboxylate)", "5-((3,5-dicarboxylatephenyl)ethynyl)isophthalate", "5,5'-(1,2-Ethynyl)bis-1,3-benzenedicarboxylate", "3,3'-(ethyne-1,2-diyl)bis(5-carboxybenzoate)"]</t>
  </si>
  <si>
    <t>C(#CC=1C=C(C=C(C(=O)O)C1)C(=O)O)C=1C=C(C=C(C(=O)O)C1)C(=O)O</t>
  </si>
  <si>
    <t>RAHPAT</t>
  </si>
  <si>
    <t>NOTT-115</t>
  </si>
  <si>
    <t xml:space="preserve">http://dx.doi.org/10.1002/chem.201101341 </t>
  </si>
  <si>
    <t xml:space="preserve">https://www.ccdc.cam.ac.uk/structures/Search?Ccdcid=RAHPAT&amp;DatabaseToSearch=Published </t>
  </si>
  <si>
    <t>H₆LNPh</t>
  </si>
  <si>
    <t>1347748-59-7</t>
  </si>
  <si>
    <t>5-[4-[4-(3,5-dicarboxyphenyl)-N-[4-(3,5-dicarboxyphenyl)phenyl]anilino]phenyl]benzene-1,3-dicarboxylate</t>
  </si>
  <si>
    <t>["4',4'',4'''-nitrilotribiphenyl-3,5-dicarboxylate"]</t>
  </si>
  <si>
    <t>C(=O)(O)C=1C=C(C=C(C1)C(=O)O)C1=CC=C(N(C2=CC=C(C=C2)C2=CC(=CC(=C2)C(=O)O)C(=O)O)C2=CC=C(C=C2)C=2C=C(C=C(C2)C(=O)O)C(=O)O)C=C1</t>
  </si>
  <si>
    <t>VOLPET</t>
  </si>
  <si>
    <t xml:space="preserve">http://dx.doi.org/10.1021/cg500436g </t>
  </si>
  <si>
    <t xml:space="preserve">https://www.ccdc.cam.ac.uk/structures/Search?Ccdcid=VOLPET&amp;DatabaseToSearch=Published </t>
  </si>
  <si>
    <t>MeCN</t>
  </si>
  <si>
    <t>H₂thb</t>
  </si>
  <si>
    <t>4282-31-9</t>
  </si>
  <si>
    <t>Thiophene-2,5-dicarboxylate</t>
  </si>
  <si>
    <t>["Thiophene-2,5-dicarboxylate", "2,5-thiophenedicarboxylate"]</t>
  </si>
  <si>
    <t>S1C(=CC=C1C(=O)O)C(=O)O</t>
  </si>
  <si>
    <t>KIJRUS</t>
  </si>
  <si>
    <t>ZJU-30</t>
  </si>
  <si>
    <t xml:space="preserve">http://dx.doi.org/10.1021/cg400164m </t>
  </si>
  <si>
    <t xml:space="preserve">https://www.ccdc.cam.ac.uk/structures/Search?Ccdcid=KIJRUS&amp;DatabaseToSearch=Published </t>
  </si>
  <si>
    <t>1383925-31-2</t>
  </si>
  <si>
    <t>biphenyl-3,3',5,5'-tetra-(phenyl-4-carboxylate)</t>
  </si>
  <si>
    <t>["3,3',5,5'-tetrakis(4-carboxylatephenyl)-1,1'-biphenyl", "biphenyl-3,3',5,5'-tetra-(phenyl-4-carboxylate)"]</t>
  </si>
  <si>
    <t>C(=O)(O)C1=CC=C(C=C1)C=1C=C(C=C(C1)C1=CC=C(C=C1)C(=O)O)C=1C=C(C=C(C1)C1=CC=C(C=C1)C(=O)O)C1=CC=C(C(=O)O)C=C1</t>
  </si>
  <si>
    <t>DUNYOC</t>
  </si>
  <si>
    <t xml:space="preserve">http://dx.doi.org/10.1039/C5NJ02634B </t>
  </si>
  <si>
    <t xml:space="preserve">https://www.ccdc.cam.ac.uk/structures/Search?Ccdcid=DUNYOC&amp;DatabaseToSearch=Published </t>
  </si>
  <si>
    <t>Zn(NO₃)₂</t>
  </si>
  <si>
    <t>H₂AzDC</t>
  </si>
  <si>
    <t>586-91-4</t>
  </si>
  <si>
    <t>4,4'-Azodibenzoate</t>
  </si>
  <si>
    <t>["Azobenzene-4,4'-dicarboxylate", "4-((4-carboxyphenyl)diazenyl)benzoate"]</t>
  </si>
  <si>
    <t>C(=O)(O)C1=CC=C(C=C1)N=NC1=CC=C(C(=O)O)C=C1</t>
  </si>
  <si>
    <t>Angene Chemical</t>
  </si>
  <si>
    <t>N4,N4'-bis(pyridin-4-yl)-[1,1'-biphenyl]-4,4'-dicarboxamide</t>
  </si>
  <si>
    <t>["N,N'-di(pyridin-4-yl)biphenyl-4,4'-dicarboxamide"]</t>
  </si>
  <si>
    <t>N1=CC=C(C=C1)NC(=O)C1=CC=C(C=C1)C1=CC=C(C=C1)C(=O)NC1=CC=NC=C1</t>
  </si>
  <si>
    <t>LOFJAT</t>
  </si>
  <si>
    <t>ZJU-61</t>
  </si>
  <si>
    <t xml:space="preserve">http://dx.doi.org/10.1016/j.micromeso.2014.01.023 </t>
  </si>
  <si>
    <t xml:space="preserve">https://www.ccdc.cam.ac.uk/structures/Search?Ccdcid=LOFJAT&amp;DatabaseToSearch=Published </t>
  </si>
  <si>
    <t>H₄OFDI</t>
  </si>
  <si>
    <t>5,5'-(9-Oxo-9H-fluorene-2,7-diyl)di-isophthalate</t>
  </si>
  <si>
    <t>O=C1C2=CC(=CC=C2C=2C=CC(=CC12)C=1C=C(C=C(C(=O)O)C1)C(=O)O)C=1C=C(C=C(C(=O)O)C1)C(=O)O</t>
  </si>
  <si>
    <t>NAHHOW</t>
  </si>
  <si>
    <t>ZJNU-48</t>
  </si>
  <si>
    <t xml:space="preserve">http://dx.doi.org/10.1039/C5DT04943A </t>
  </si>
  <si>
    <t xml:space="preserve">https://www.ccdc.cam.ac.uk/structures/Search?Ccdcid=NAHHOW&amp;DatabaseToSearch=Published </t>
  </si>
  <si>
    <t xml:space="preserve">EtOH </t>
  </si>
  <si>
    <t>H₄L₁</t>
  </si>
  <si>
    <t>1601485-40-8</t>
  </si>
  <si>
    <t>2,5-bis(3,5-Dicarboxylatephenyl)pyrimidine</t>
  </si>
  <si>
    <t>C(=O)(O)C=1C=C(C=C(C1)C(=O)O)C1=NC=C(C=N1)C1=CC(=CC(=C1)C(=O)O)C(=O)O</t>
  </si>
  <si>
    <t>ChemScene</t>
  </si>
  <si>
    <t>LUSYEF</t>
  </si>
  <si>
    <t xml:space="preserve">http://dx.doi.org/10.1039/C5RA14633J </t>
  </si>
  <si>
    <t xml:space="preserve">https://www.ccdc.cam.ac.uk/structures/Search?Ccdcid=LUSYEF&amp;DatabaseToSearch=Published </t>
  </si>
  <si>
    <t>H₄NPA</t>
  </si>
  <si>
    <t>1431292-15-7</t>
  </si>
  <si>
    <t>5,5'-(pyridine-2,5-diyl)dibenzene-1,3-dicarboxylate</t>
  </si>
  <si>
    <t>["5,5'-pyridine-2,5-diyldibenzene-1,3-dicarboxylate", "5,5'-(pyridine-2,5-diyl)di(benzene-1,3-dicarboxylate)", "5,5'-(pyridine-2,5-diyl)diisophthalate"]</t>
  </si>
  <si>
    <t>N1=C(C=CC(=C1)C=1C=C(C=C(C(=O)O)C1)C(=O)O)C=1C=C(C=C(C(=O)O)C1)C(=O)O</t>
  </si>
  <si>
    <t>QUTDAM</t>
  </si>
  <si>
    <t>ZJU-9</t>
  </si>
  <si>
    <t xml:space="preserve">http://dx.doi.org/10.1039/C5DT01943E </t>
  </si>
  <si>
    <t xml:space="preserve">https://www.ccdc.cam.ac.uk/structures/Search?Ccdcid=QUTDAM&amp;DatabaseToSearch=Published </t>
  </si>
  <si>
    <t>Cu(NO₃)₂·2H₂O</t>
  </si>
  <si>
    <t>1895077-69-6</t>
  </si>
  <si>
    <t>5-[5-(3,5-dicarboxyphenyl)naphthalen-1-yl]benzene-1,3-dicarboxylate</t>
  </si>
  <si>
    <t>["5,5'-Naphthalene-1,5-diyldiisophthalate"]</t>
  </si>
  <si>
    <t>C1(=CC=CC2=C(C=CC=C12)C=1C=C(C=C(C(=O)O)C1)C(=O)O)C=1C=C(C=C(C(=O)O)C1)C(=O)O</t>
  </si>
  <si>
    <t>TAGVAB</t>
  </si>
  <si>
    <t>CPM-201</t>
  </si>
  <si>
    <t xml:space="preserve">https://www.ccdc.cam.ac.uk/structures/Search?Ccdcid=TAGVAB&amp;DatabaseToSearch=Published </t>
  </si>
  <si>
    <t>DEA</t>
  </si>
  <si>
    <t>IQECIS</t>
  </si>
  <si>
    <t>MFOF-1</t>
  </si>
  <si>
    <t xml:space="preserve">http://dx.doi.org/10.1002/chem.201600705 </t>
  </si>
  <si>
    <t xml:space="preserve">https://www.ccdc.cam.ac.uk/structures/Search?Ccdcid=IQECIS&amp;DatabaseToSearch=Published </t>
  </si>
  <si>
    <t>CoSO₄·7H₂O</t>
  </si>
  <si>
    <t>tpt</t>
  </si>
  <si>
    <t>42333-78-8</t>
  </si>
  <si>
    <t>2,4,6-tris(4-Pyridyl)1,3,5-triazine</t>
  </si>
  <si>
    <t>["2,4,6-tris(4-Pyridyl)1,3,5-triazine", "tri(pyridin-4-yl)-1,3,5-triazine", "2,4,6-tris(pyridin-4-yl)-1,3,5-triazine", "2,4,6-tris(4-Pyridyl)-1,3,5-triazine", "2,4,6-tris(4'-Pyridyl)-1,3,5-triazine", "2,4,6-tri(pyridin-4-yl)-1,3,5-triazine", "2,4,6-Tripyridin-4-yl-1,3,5-triazine", "tris(4-pyridyl)-1,3,5-triazine", "2,4,6-tris(4-Pyridyl)triazine"]</t>
  </si>
  <si>
    <t>N1=CC=C(C=C1)C1=NC(=NC(=N1)C1=CC=NC=C1)C1=CC=NC=C1</t>
  </si>
  <si>
    <t>TCI Chemicals</t>
  </si>
  <si>
    <t>MOYYIJ</t>
  </si>
  <si>
    <t xml:space="preserve">http://dx.doi.org/10.1021/cg801026y </t>
  </si>
  <si>
    <t xml:space="preserve">https://www.ccdc.cam.ac.uk/structures/Search?Ccdcid=MOYYIJ&amp;DatabaseToSearch=Published </t>
  </si>
  <si>
    <t>3,4′-bpdc</t>
  </si>
  <si>
    <t>92152-01-7</t>
  </si>
  <si>
    <t>3,4'-Biphenyldicarboxylate</t>
  </si>
  <si>
    <t>["3,4'-Biphenyldicarboxylate"]</t>
  </si>
  <si>
    <t>C1(=CC(=CC=C1)C(=O)O)C1=CC=C(C=C1)C(=O)O</t>
  </si>
  <si>
    <t>Chemenu</t>
  </si>
  <si>
    <t>YAVWUQ</t>
  </si>
  <si>
    <t xml:space="preserve">http://dx.doi.org/10.1039/C7CE00661F </t>
  </si>
  <si>
    <t xml:space="preserve">https://www.ccdc.cam.ac.uk/structures/Search?Ccdcid=YAVWUQ&amp;DatabaseToSearch=Published </t>
  </si>
  <si>
    <t>H4L</t>
  </si>
  <si>
    <t>64-18-6</t>
  </si>
  <si>
    <t>formate</t>
  </si>
  <si>
    <t>["formate"]</t>
  </si>
  <si>
    <t>C(=O)O</t>
  </si>
  <si>
    <t>AlfaAesar</t>
  </si>
  <si>
    <t>5,5'-(4H-1,2,4-triazole-3,5-diyl)bis(benzene-1,3-dicarboxylate)</t>
  </si>
  <si>
    <t>N=1N=C(NC1C=1C=C(C=C(C1)C(=O)O)C(=O)O)C=1C=C(C=C(C1)C(=O)O)C(=O)O</t>
  </si>
  <si>
    <t>BEXVEH</t>
  </si>
  <si>
    <t xml:space="preserve">http://dx.doi.org/10.1039/C3CE27006H </t>
  </si>
  <si>
    <t xml:space="preserve">https://www.ccdc.cam.ac.uk/structures/Search?Ccdcid=BEXVEH&amp;DatabaseToSearch=Published </t>
  </si>
  <si>
    <t>156750-08-2</t>
  </si>
  <si>
    <t>5-[(3,5-dicarboxyphenoxy)methyl]benzene-1,3-dicarboxylate</t>
  </si>
  <si>
    <t>["5-(3,5-dicarboxybenzyloxy)isophthalate", "5-(3,5-Dicarboxylatebenzyloxy)isophthalate"]</t>
  </si>
  <si>
    <t>C(=O)(O)C=1C=C(COC=2C=C(C=C(C(=O)O)C2)C(=O)O)C=C(C1)C(=O)O</t>
  </si>
  <si>
    <t>JUTCIM</t>
  </si>
  <si>
    <t xml:space="preserve">http://dx.doi.org/10.1039/C5RA10459A </t>
  </si>
  <si>
    <t xml:space="preserve">https://www.ccdc.cam.ac.uk/structures/Search?Ccdcid=JUTCIM&amp;DatabaseToSearch=Published </t>
  </si>
  <si>
    <t>Cu(NO₃)₂</t>
  </si>
  <si>
    <t>H₂dnpdc (asam 2,6-dinitropyridine-4,4'-dicarboxylic)</t>
  </si>
  <si>
    <t>2,2',6,6'-Tetranitrobiphenyl-4,4'-dicarboxylate</t>
  </si>
  <si>
    <t>N(=O)(O)C1=C(C(=CC(=C1)C(=O)O)N(=O)O)C1=C(C=C(C=C1N(=O)O)C(=O)O)N(=O)O</t>
  </si>
  <si>
    <t>EHUTAE</t>
  </si>
  <si>
    <t>MFM-131</t>
  </si>
  <si>
    <t xml:space="preserve">http://dx.doi.org/10.1021/jacs.5b12312 </t>
  </si>
  <si>
    <t xml:space="preserve">https://www.ccdc.cam.ac.uk/structures/Search?Ccdcid=EHUTAE&amp;DatabaseToSearch=Published </t>
  </si>
  <si>
    <t>H₄LIV</t>
  </si>
  <si>
    <t>2',2'',2''',5',5'',5'''-Hexamethyl-1,1':4',1'':4'',1''':4''',1''''-quinquephenyl-3,3'''',5,5''''-tetracarboxylate</t>
  </si>
  <si>
    <t>CC1=C(C=C(C(=C1)C1=C(C=C(C(=C1)C)C1=C(C=C(C(=C1)C)C1=CC(=CC(=C1)C(=O)O)C(=O)O)C)C)C)C1=CC(=CC(=C1)C(=O)O)C(=O)O</t>
  </si>
  <si>
    <t>WIJXEU</t>
  </si>
  <si>
    <t xml:space="preserve">https://www.ccdc.cam.ac.uk/structures/Search?Ccdcid=WIJXEU&amp;DatabaseToSearch=Published </t>
  </si>
  <si>
    <t>bpea</t>
  </si>
  <si>
    <t>Biosynth (UK)</t>
  </si>
  <si>
    <t>ZnCl₂</t>
  </si>
  <si>
    <t>DMAc</t>
  </si>
  <si>
    <t>HFP</t>
  </si>
  <si>
    <t>CuBr₂</t>
  </si>
  <si>
    <t>Cellosolve</t>
  </si>
  <si>
    <t>1,4-dioxane</t>
  </si>
  <si>
    <t>91-66-7</t>
  </si>
  <si>
    <t>Sigma Aldrich</t>
  </si>
  <si>
    <t>PT Graha Jaya Pratama Kinerja </t>
  </si>
  <si>
    <t>127-19-5</t>
  </si>
  <si>
    <t>Trimax Chemicals</t>
  </si>
  <si>
    <t>68-12-2</t>
  </si>
  <si>
    <t>68-84-2</t>
  </si>
  <si>
    <t>Lonwin Industry Group Limited Co., Ltd.</t>
  </si>
  <si>
    <t>872-50-4</t>
  </si>
  <si>
    <t>Jigs Chemical</t>
  </si>
  <si>
    <t>67-68-5</t>
  </si>
  <si>
    <t>Jiangsu Juming Chemical Technology Co., Ltd.</t>
  </si>
  <si>
    <t>2687-91-4</t>
  </si>
  <si>
    <t>Otto Chemie pvt ltd</t>
  </si>
  <si>
    <t>920-66-1</t>
  </si>
  <si>
    <t>Jinan Qinmu Fine Chemical Co., Ltd.</t>
  </si>
  <si>
    <t xml:space="preserve">NaOH </t>
  </si>
  <si>
    <t>1310-73-2</t>
  </si>
  <si>
    <t>0,9-1,1 M</t>
  </si>
  <si>
    <t>HK Chemicals</t>
  </si>
  <si>
    <t>7732-18-5</t>
  </si>
  <si>
    <t>Mika Chemical</t>
  </si>
  <si>
    <t>67-56-1</t>
  </si>
  <si>
    <t>PT. Anugrah Putra Kencana</t>
  </si>
  <si>
    <t>64-17-5</t>
  </si>
  <si>
    <t>110-80-5</t>
  </si>
  <si>
    <t>Shubham Fine Chem</t>
  </si>
  <si>
    <t>75-05-8</t>
  </si>
  <si>
    <t>Shandong Dexiang International Trade Co.,Ltd</t>
  </si>
  <si>
    <t xml:space="preserve">HNO3 </t>
  </si>
  <si>
    <t>7697-37-2</t>
  </si>
  <si>
    <t>KEY Chemicals</t>
  </si>
  <si>
    <t>NH3</t>
  </si>
  <si>
    <t>7664-41-7</t>
  </si>
  <si>
    <t>4 M in MeOH</t>
  </si>
  <si>
    <t>Om Sai Enterprises</t>
  </si>
  <si>
    <t>16872-11-0</t>
  </si>
  <si>
    <t>48% in H2O</t>
  </si>
  <si>
    <t>Jay Unnati Chem</t>
  </si>
  <si>
    <t>7647-01-0</t>
  </si>
  <si>
    <t>Qingdao Langyi Industrial Co.,Ltd</t>
  </si>
  <si>
    <t>12501-23-4</t>
  </si>
  <si>
    <t>Hebei Kenbin Technology Co.,Ltd</t>
  </si>
  <si>
    <t>64-19-7</t>
  </si>
  <si>
    <t>Hebei Jinchangsheng Chemical Technology Co.,Ltd</t>
  </si>
  <si>
    <t>121-44-8</t>
  </si>
  <si>
    <t>Inner Mongolia Harbor Trade Chemicals Co.,Ltd</t>
  </si>
  <si>
    <t>107-21-1</t>
  </si>
  <si>
    <t>124-41-4</t>
  </si>
  <si>
    <t>25% in MeOH</t>
  </si>
  <si>
    <t>Weihai Jindo Chemical Co.,Ltd</t>
  </si>
  <si>
    <t>123-91-1</t>
  </si>
  <si>
    <t>75-09-2</t>
  </si>
  <si>
    <t>Zibo Aiheng New Material Co.,Ltd</t>
  </si>
  <si>
    <t>19004-19-3</t>
  </si>
  <si>
    <t>W&amp;Q Fine Chemicals</t>
  </si>
  <si>
    <t>19004-19-4</t>
  </si>
  <si>
    <t>10031-43-3</t>
  </si>
  <si>
    <t>13478-38-1</t>
  </si>
  <si>
    <t>13778-31-9</t>
  </si>
  <si>
    <t>CuSO₄</t>
  </si>
  <si>
    <t>7758-99-8</t>
  </si>
  <si>
    <t>Hebei Pusuo Import &amp; Export Co., Ltd.</t>
  </si>
  <si>
    <t>CuCl₂</t>
  </si>
  <si>
    <t>10125-13-0</t>
  </si>
  <si>
    <t>10025-89-3</t>
  </si>
  <si>
    <t>Cu(BF₄)₂</t>
  </si>
  <si>
    <t>207121-39-9</t>
  </si>
  <si>
    <t>AB Enterprises</t>
  </si>
  <si>
    <t>7681-65-4</t>
  </si>
  <si>
    <t>Cu(OAc)₂</t>
  </si>
  <si>
    <t>142-71-2</t>
  </si>
  <si>
    <t>Shandong Shengbang Import and Export Co., Ltd.</t>
  </si>
  <si>
    <t>7789-45-9</t>
  </si>
  <si>
    <t>Suzhou Senfeida Chemical Co., Ltd.</t>
  </si>
  <si>
    <t>Cu(ClO₄)₂</t>
  </si>
  <si>
    <t>10294-46-9</t>
  </si>
  <si>
    <t>Chem Lab</t>
  </si>
  <si>
    <t>Co(NO₃)₂</t>
  </si>
  <si>
    <t>10026-22-9</t>
  </si>
  <si>
    <t>Thermo Fisher</t>
  </si>
  <si>
    <t>Hainan Xinda Chuancheng Petrochemical Co., Ltd.</t>
  </si>
  <si>
    <t>Co(ClO₄)₂</t>
  </si>
  <si>
    <t>13478-20-1</t>
  </si>
  <si>
    <t>Fisher Scientific</t>
  </si>
  <si>
    <t>CoSO₄</t>
  </si>
  <si>
    <t>10026-24-1</t>
  </si>
  <si>
    <t>19154-63-3</t>
  </si>
  <si>
    <t>Phytotech Lab</t>
  </si>
  <si>
    <t>JK Chemicals</t>
  </si>
  <si>
    <t>10196-18-6</t>
  </si>
  <si>
    <t>Goyal Chem Associates</t>
  </si>
  <si>
    <t>Zn(CH₃COO)₂</t>
  </si>
  <si>
    <t>5970-45-6</t>
  </si>
  <si>
    <t>7646-85-7</t>
  </si>
  <si>
    <t>Shandong Dexiang International Trade Co., Ltd.</t>
  </si>
  <si>
    <t>Ni(NO₃)₂</t>
  </si>
  <si>
    <t>13478-00-7</t>
  </si>
  <si>
    <t>Zhengzhou Delong Chemical Co., Ltd.</t>
  </si>
  <si>
    <t>Mn(NO₃)₂</t>
  </si>
  <si>
    <t>13446-34-9</t>
  </si>
  <si>
    <t>Alfa Aesar</t>
  </si>
  <si>
    <t>SV Trading Company</t>
  </si>
  <si>
    <t>MnCl₂</t>
  </si>
  <si>
    <t>Ningbo Surest Chemical Co., Ltd.</t>
  </si>
  <si>
    <t>Cd(NO₃)₂</t>
  </si>
  <si>
    <t>10022-68-1</t>
  </si>
  <si>
    <t>Zama Chemical</t>
  </si>
  <si>
    <t>CdSO₄</t>
  </si>
  <si>
    <t>7790-84-3</t>
  </si>
  <si>
    <t>Neofroxx</t>
  </si>
  <si>
    <t>Cd(CH₃COO)₂</t>
  </si>
  <si>
    <t>5743-04-4</t>
  </si>
  <si>
    <t>The Truth Labs</t>
  </si>
  <si>
    <t>Cd(ClO₄)₂</t>
  </si>
  <si>
    <t>10326-27-9</t>
  </si>
  <si>
    <t>Reagents.com</t>
  </si>
  <si>
    <t>Chem lab</t>
  </si>
  <si>
    <t>Mg(NO₃)₂</t>
  </si>
  <si>
    <t>13446-18-9</t>
  </si>
  <si>
    <t>NRS Chemicals LLP</t>
  </si>
  <si>
    <t>LiOH</t>
  </si>
  <si>
    <t>1310-65-2</t>
  </si>
  <si>
    <t>Jinan Future Chemical Co., Ltd.</t>
  </si>
  <si>
    <t xml:space="preserve">DMA </t>
  </si>
  <si>
    <t>Uptake Grav - Working Cap [%wt]</t>
  </si>
  <si>
    <t>Uptake Vol - Working Cap [g/L]</t>
  </si>
  <si>
    <t>CH2CL2</t>
  </si>
  <si>
    <t>HNO3</t>
  </si>
  <si>
    <t xml:space="preserve">NH3 </t>
  </si>
  <si>
    <t>HBF4</t>
  </si>
  <si>
    <t xml:space="preserve">HCl </t>
  </si>
  <si>
    <t>H3PMo12O40</t>
  </si>
  <si>
    <t xml:space="preserve">HBF4 </t>
  </si>
  <si>
    <t>EG</t>
  </si>
  <si>
    <t xml:space="preserve">CH3ONa </t>
  </si>
  <si>
    <t>CH2Cl2</t>
  </si>
  <si>
    <t>MOF_Name</t>
  </si>
  <si>
    <t>Name</t>
  </si>
  <si>
    <t>Link_DOI</t>
  </si>
  <si>
    <t>CCDC_Link</t>
  </si>
  <si>
    <t>Uptake_Grav (wt. %)</t>
  </si>
  <si>
    <t>Uptake_Vol (g H2/L)</t>
  </si>
  <si>
    <t>Pressure (bar)</t>
  </si>
  <si>
    <t>Temperature (oC)</t>
  </si>
  <si>
    <t>Time (h)</t>
  </si>
  <si>
    <t>Yield</t>
  </si>
  <si>
    <t>Product (mg)</t>
  </si>
  <si>
    <t>Solvent_Name</t>
  </si>
  <si>
    <t>Solvent_Code</t>
  </si>
  <si>
    <t>Solvent_Volume (mL)</t>
  </si>
  <si>
    <t>Additive_Name</t>
  </si>
  <si>
    <t>Additive_Code</t>
  </si>
  <si>
    <t>Additive_Volume (mL)</t>
  </si>
  <si>
    <t>Modulator_Name</t>
  </si>
  <si>
    <t>Modulator_Code</t>
  </si>
  <si>
    <t>Modulator_Volume (mL)</t>
  </si>
  <si>
    <t>Metal_Name</t>
  </si>
  <si>
    <t>Metal_Code</t>
  </si>
  <si>
    <t>Metal_Mass (mg)</t>
  </si>
  <si>
    <t>Metal_Mol (mmol)</t>
  </si>
  <si>
    <t>Linker1_Name</t>
  </si>
  <si>
    <t>CAS1</t>
  </si>
  <si>
    <t>Norm_Name1</t>
  </si>
  <si>
    <t>Name1</t>
  </si>
  <si>
    <t>Vendor_Name1</t>
  </si>
  <si>
    <t>Max_Amount1 (g)</t>
  </si>
  <si>
    <t>Min_Purity1</t>
  </si>
  <si>
    <t>Linker1_Mass (mg)</t>
  </si>
  <si>
    <t>Linker1_Mol (mmol)</t>
  </si>
  <si>
    <t>Linker2_Name</t>
  </si>
  <si>
    <t>CAS2</t>
  </si>
  <si>
    <t>Norm_Name2</t>
  </si>
  <si>
    <t>Name2</t>
  </si>
  <si>
    <t>Vendor_Name2</t>
  </si>
  <si>
    <t>Max_Amount2 (g)</t>
  </si>
  <si>
    <t>Min_Purity2</t>
  </si>
  <si>
    <t>Linker2_Mass (mg)</t>
  </si>
  <si>
    <t>Linker2_Mol (mmol)</t>
  </si>
  <si>
    <t>Linker1 (€/g)</t>
  </si>
  <si>
    <t>Linker1 (€)</t>
  </si>
  <si>
    <t>Linker2 (€/g)</t>
  </si>
  <si>
    <t>Linker2 (€)</t>
  </si>
  <si>
    <t>Solvent</t>
  </si>
  <si>
    <t>Solvent_CAS</t>
  </si>
  <si>
    <t>Metal</t>
  </si>
  <si>
    <t>Num_Hidrate</t>
  </si>
  <si>
    <t>Metal_CAS</t>
  </si>
  <si>
    <t>SMILES1</t>
  </si>
  <si>
    <t>SMILES2</t>
  </si>
  <si>
    <t>Vendor_Name_Analytical_Grade</t>
  </si>
  <si>
    <t>Max_Amount_Analytical_Grade (L)</t>
  </si>
  <si>
    <t>Min_Purity_Analytical_Grade</t>
  </si>
  <si>
    <t>Rel_Price_Analytical_Grade (€/ml)</t>
  </si>
  <si>
    <t>Rel_Price_Analytical_Grade (Rp./ml)</t>
  </si>
  <si>
    <t>Vendor_Name_Technical_Grade</t>
  </si>
  <si>
    <t>Max_Amount_Technical_Grade (L)</t>
  </si>
  <si>
    <t>Min_Purity_Technical_Grade</t>
  </si>
  <si>
    <t>Rel_Price_Technical_Grade (€/ml)</t>
  </si>
  <si>
    <t>Rel_Price_Technical_Grade (Rp./ml)</t>
  </si>
  <si>
    <t>Max_Amount_Analytical_Grade (g)</t>
  </si>
  <si>
    <t>Rel_Price_Analytical_Grade (€/g)</t>
  </si>
  <si>
    <t>Rel_Price_Analytical_Grade (Rp./g)</t>
  </si>
  <si>
    <t>Max_Amount_Technical_Grade (g)</t>
  </si>
  <si>
    <t>Rel_Price_Technical_Grade (€/g)</t>
  </si>
  <si>
    <t>Rel_Price_Technical_Grade (Rp./g)</t>
  </si>
  <si>
    <t>Concentration (%w/w)</t>
  </si>
  <si>
    <t>Modulator Sol_Volume (mL)</t>
  </si>
  <si>
    <t>Concentration (% or M)</t>
  </si>
  <si>
    <r>
      <t>H</t>
    </r>
    <r>
      <rPr>
        <vertAlign val="subscript"/>
        <sz val="11"/>
        <color theme="1" tint="4.9989318521683403E-2"/>
        <rFont val="Calibri"/>
        <family val="2"/>
        <scheme val="minor"/>
      </rPr>
      <t>3</t>
    </r>
    <r>
      <rPr>
        <sz val="11"/>
        <color theme="1" tint="4.9989318521683403E-2"/>
        <rFont val="Calibri"/>
        <family val="2"/>
        <scheme val="minor"/>
      </rPr>
      <t>(btb)</t>
    </r>
  </si>
  <si>
    <r>
      <t>L</t>
    </r>
    <r>
      <rPr>
        <vertAlign val="subscript"/>
        <sz val="11"/>
        <color theme="1" tint="4.9989318521683403E-2"/>
        <rFont val="Calibri"/>
        <family val="2"/>
        <scheme val="minor"/>
      </rPr>
      <t>4</t>
    </r>
    <r>
      <rPr>
        <sz val="11"/>
        <color theme="1" tint="4.9989318521683403E-2"/>
        <rFont val="Calibri"/>
        <family val="2"/>
        <scheme val="minor"/>
      </rPr>
      <t>-H</t>
    </r>
    <r>
      <rPr>
        <vertAlign val="subscript"/>
        <sz val="11"/>
        <color theme="1" tint="4.9989318521683403E-2"/>
        <rFont val="Calibri"/>
        <family val="2"/>
        <scheme val="minor"/>
      </rPr>
      <t>4</t>
    </r>
  </si>
  <si>
    <r>
      <t>Cu(NO</t>
    </r>
    <r>
      <rPr>
        <vertAlign val="subscript"/>
        <sz val="11"/>
        <color theme="1" tint="4.9989318521683403E-2"/>
        <rFont val="Calibri"/>
        <family val="2"/>
        <scheme val="minor"/>
      </rPr>
      <t>3</t>
    </r>
    <r>
      <rPr>
        <sz val="11"/>
        <color theme="1" tint="4.9989318521683403E-2"/>
        <rFont val="Calibri"/>
        <family val="2"/>
        <scheme val="minor"/>
      </rPr>
      <t>)</t>
    </r>
    <r>
      <rPr>
        <vertAlign val="subscript"/>
        <sz val="11"/>
        <color theme="1" tint="4.9989318521683403E-2"/>
        <rFont val="Calibri"/>
        <family val="2"/>
        <scheme val="minor"/>
      </rPr>
      <t>2</t>
    </r>
    <r>
      <rPr>
        <sz val="11"/>
        <color theme="1" tint="4.9989318521683403E-2"/>
        <rFont val="Calibri"/>
        <family val="2"/>
        <scheme val="minor"/>
      </rPr>
      <t>·2.5H</t>
    </r>
    <r>
      <rPr>
        <vertAlign val="subscript"/>
        <sz val="11"/>
        <color theme="1" tint="4.9989318521683403E-2"/>
        <rFont val="Calibri"/>
        <family val="2"/>
        <scheme val="minor"/>
      </rPr>
      <t>2</t>
    </r>
    <r>
      <rPr>
        <sz val="11"/>
        <color theme="1" tint="4.9989318521683403E-2"/>
        <rFont val="Calibri"/>
        <family val="2"/>
        <scheme val="minor"/>
      </rPr>
      <t>O</t>
    </r>
  </si>
  <si>
    <r>
      <t>H</t>
    </r>
    <r>
      <rPr>
        <vertAlign val="subscript"/>
        <sz val="11"/>
        <color theme="1" tint="4.9989318521683403E-2"/>
        <rFont val="Calibri"/>
        <family val="2"/>
        <scheme val="minor"/>
      </rPr>
      <t>3</t>
    </r>
    <r>
      <rPr>
        <sz val="11"/>
        <color theme="1" tint="4.9989318521683403E-2"/>
        <rFont val="Calibri"/>
        <family val="2"/>
        <scheme val="minor"/>
      </rPr>
      <t>L₃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</si>
</sst>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0.0"/>
    <numFmt numFmtId="166" formatCode="_(* #,##0.000_);_(* \(#,##0.000\);_(* &quot;-&quot;_);_(@_)"/>
    <numFmt numFmtId="167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u/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</font>
    <font>
      <vertAlign val="subscript"/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0" fontId="0" fillId="0" borderId="2" xfId="0" applyBorder="1"/>
    <xf numFmtId="0" fontId="0" fillId="0" borderId="0" xfId="0" applyAlignment="1">
      <alignment wrapText="1"/>
    </xf>
    <xf numFmtId="0" fontId="0" fillId="0" borderId="0" xfId="0" applyBorder="1"/>
    <xf numFmtId="0" fontId="5" fillId="0" borderId="0" xfId="0" applyFont="1" applyFill="1"/>
    <xf numFmtId="0" fontId="6" fillId="0" borderId="0" xfId="2" applyFont="1" applyFill="1"/>
    <xf numFmtId="0" fontId="5" fillId="0" borderId="0" xfId="2" applyFont="1" applyFill="1"/>
    <xf numFmtId="9" fontId="5" fillId="0" borderId="0" xfId="0" applyNumberFormat="1" applyFont="1" applyFill="1"/>
    <xf numFmtId="164" fontId="5" fillId="0" borderId="0" xfId="0" applyNumberFormat="1" applyFont="1" applyFill="1"/>
    <xf numFmtId="10" fontId="5" fillId="0" borderId="0" xfId="1" applyNumberFormat="1" applyFont="1" applyFill="1"/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top" wrapText="1"/>
    </xf>
    <xf numFmtId="166" fontId="5" fillId="0" borderId="0" xfId="0" applyNumberFormat="1" applyFont="1" applyFill="1"/>
    <xf numFmtId="9" fontId="5" fillId="0" borderId="0" xfId="1" applyFont="1" applyFill="1"/>
    <xf numFmtId="10" fontId="5" fillId="0" borderId="0" xfId="0" applyNumberFormat="1" applyFont="1" applyFill="1"/>
    <xf numFmtId="0" fontId="5" fillId="0" borderId="0" xfId="0" applyFont="1" applyFill="1" applyAlignment="1">
      <alignment vertical="center"/>
    </xf>
    <xf numFmtId="165" fontId="5" fillId="0" borderId="0" xfId="0" applyNumberFormat="1" applyFont="1" applyFill="1"/>
    <xf numFmtId="4" fontId="5" fillId="0" borderId="0" xfId="0" applyNumberFormat="1" applyFont="1" applyFill="1"/>
    <xf numFmtId="167" fontId="5" fillId="0" borderId="0" xfId="0" applyNumberFormat="1" applyFont="1" applyFill="1"/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Border="1"/>
    <xf numFmtId="0" fontId="5" fillId="0" borderId="0" xfId="0" applyFont="1" applyFill="1" applyBorder="1"/>
    <xf numFmtId="0" fontId="5" fillId="0" borderId="2" xfId="0" applyFont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039/C6QI00616G" TargetMode="External"/><Relationship Id="rId117" Type="http://schemas.openxmlformats.org/officeDocument/2006/relationships/hyperlink" Target="https://www.ccdc.cam.ac.uk/structures/Search?Ccdcid=DICKEH&amp;DatabaseToSearch=Published" TargetMode="External"/><Relationship Id="rId21" Type="http://schemas.openxmlformats.org/officeDocument/2006/relationships/hyperlink" Target="https://www.ccdc.cam.ac.uk/structures/Search?Ccdcid=LIKDOA&amp;DatabaseToSearch=Published" TargetMode="External"/><Relationship Id="rId42" Type="http://schemas.openxmlformats.org/officeDocument/2006/relationships/hyperlink" Target="http://dx.doi.org/10.1039/C4QI00047A" TargetMode="External"/><Relationship Id="rId47" Type="http://schemas.openxmlformats.org/officeDocument/2006/relationships/hyperlink" Target="https://www.ccdc.cam.ac.uk/structures/Search?Ccdcid=VIXPUP&amp;DatabaseToSearch=Published" TargetMode="External"/><Relationship Id="rId63" Type="http://schemas.openxmlformats.org/officeDocument/2006/relationships/hyperlink" Target="https://www.ccdc.cam.ac.uk/structures/Search?Ccdcid=LUSYEF&amp;DatabaseToSearch=Published" TargetMode="External"/><Relationship Id="rId68" Type="http://schemas.openxmlformats.org/officeDocument/2006/relationships/hyperlink" Target="http://dx.doi.org/10.1021/acs.cgd.5b01297" TargetMode="External"/><Relationship Id="rId84" Type="http://schemas.openxmlformats.org/officeDocument/2006/relationships/hyperlink" Target="http://dx.doi.org/10.1039/C6TC05203G" TargetMode="External"/><Relationship Id="rId89" Type="http://schemas.openxmlformats.org/officeDocument/2006/relationships/hyperlink" Target="https://www.ccdc.cam.ac.uk/structures/Search?Ccdcid=TAGTIH&amp;DatabaseToSearch=Published" TargetMode="External"/><Relationship Id="rId112" Type="http://schemas.openxmlformats.org/officeDocument/2006/relationships/hyperlink" Target="http://dx.doi.org/10.1021/ja107423k" TargetMode="External"/><Relationship Id="rId133" Type="http://schemas.openxmlformats.org/officeDocument/2006/relationships/hyperlink" Target="http://dx.doi.org/10.1002/chem.201101383" TargetMode="External"/><Relationship Id="rId16" Type="http://schemas.openxmlformats.org/officeDocument/2006/relationships/hyperlink" Target="http://dx.doi.org/10.1002/anie.201201202" TargetMode="External"/><Relationship Id="rId107" Type="http://schemas.openxmlformats.org/officeDocument/2006/relationships/hyperlink" Target="https://www.ccdc.cam.ac.uk/structures/Search?Ccdcid=SUKYIH&amp;DatabaseToSearch=Published" TargetMode="External"/><Relationship Id="rId11" Type="http://schemas.openxmlformats.org/officeDocument/2006/relationships/hyperlink" Target="https://www.ccdc.cam.ac.uk/structures/Search?Ccdcid=MEHMET&amp;DatabaseToSearch=Published" TargetMode="External"/><Relationship Id="rId32" Type="http://schemas.openxmlformats.org/officeDocument/2006/relationships/hyperlink" Target="http://dx.doi.org/10.1016/j.poly.2015.06.001" TargetMode="External"/><Relationship Id="rId37" Type="http://schemas.openxmlformats.org/officeDocument/2006/relationships/hyperlink" Target="https://www.ccdc.cam.ac.uk/structures/Search?Ccdcid=ADASIJ&amp;DatabaseToSearch=Published" TargetMode="External"/><Relationship Id="rId53" Type="http://schemas.openxmlformats.org/officeDocument/2006/relationships/hyperlink" Target="https://www.ccdc.cam.ac.uk/structures/Search?Ccdcid=YAVWUQ&amp;DatabaseToSearch=Published" TargetMode="External"/><Relationship Id="rId58" Type="http://schemas.openxmlformats.org/officeDocument/2006/relationships/hyperlink" Target="http://dx.doi.org/10.1021/jacs.5b12312" TargetMode="External"/><Relationship Id="rId74" Type="http://schemas.openxmlformats.org/officeDocument/2006/relationships/hyperlink" Target="http://dx.doi.org/10.1039/B917046D" TargetMode="External"/><Relationship Id="rId79" Type="http://schemas.openxmlformats.org/officeDocument/2006/relationships/hyperlink" Target="https://www.ccdc.cam.ac.uk/structures/Search?Ccdcid=KIJRUS&amp;DatabaseToSearch=Published" TargetMode="External"/><Relationship Id="rId102" Type="http://schemas.openxmlformats.org/officeDocument/2006/relationships/hyperlink" Target="http://dx.doi.org/10.1021/cg100046j" TargetMode="External"/><Relationship Id="rId123" Type="http://schemas.openxmlformats.org/officeDocument/2006/relationships/hyperlink" Target="https://www.ccdc.cam.ac.uk/structures/Search?Ccdcid=BINROH&amp;DatabaseToSearch=Published" TargetMode="External"/><Relationship Id="rId128" Type="http://schemas.openxmlformats.org/officeDocument/2006/relationships/hyperlink" Target="http://dx.doi.org/10.1002/anie.201001735" TargetMode="External"/><Relationship Id="rId5" Type="http://schemas.openxmlformats.org/officeDocument/2006/relationships/hyperlink" Target="http://dx.doi.org/10.1021/jacs.6b01345" TargetMode="External"/><Relationship Id="rId90" Type="http://schemas.openxmlformats.org/officeDocument/2006/relationships/hyperlink" Target="http://dx.doi.org/10.1021/acs.cgd.5b01297" TargetMode="External"/><Relationship Id="rId95" Type="http://schemas.openxmlformats.org/officeDocument/2006/relationships/hyperlink" Target="https://www.ccdc.cam.ac.uk/structures/Search?Ccdcid=ZIQJEQ&amp;DatabaseToSearch=Published" TargetMode="External"/><Relationship Id="rId14" Type="http://schemas.openxmlformats.org/officeDocument/2006/relationships/hyperlink" Target="http://dx.doi.org/10.1021/cm404155s" TargetMode="External"/><Relationship Id="rId22" Type="http://schemas.openxmlformats.org/officeDocument/2006/relationships/hyperlink" Target="http://dx.doi.org/10.1002/chem.201302515" TargetMode="External"/><Relationship Id="rId27" Type="http://schemas.openxmlformats.org/officeDocument/2006/relationships/hyperlink" Target="http://dx.doi.org/10.1021/acs.cgd.6b01539" TargetMode="External"/><Relationship Id="rId30" Type="http://schemas.openxmlformats.org/officeDocument/2006/relationships/hyperlink" Target="http://dx.doi.org/10.1039/C3SC21769H" TargetMode="External"/><Relationship Id="rId35" Type="http://schemas.openxmlformats.org/officeDocument/2006/relationships/hyperlink" Target="https://www.ccdc.cam.ac.uk/structures/Search?Ccdcid=ADASOP&amp;DatabaseToSearch=Published" TargetMode="External"/><Relationship Id="rId43" Type="http://schemas.openxmlformats.org/officeDocument/2006/relationships/hyperlink" Target="https://www.ccdc.cam.ac.uk/structures/Search?Ccdcid=MOKVOZ&amp;DatabaseToSearch=Published" TargetMode="External"/><Relationship Id="rId48" Type="http://schemas.openxmlformats.org/officeDocument/2006/relationships/hyperlink" Target="http://dx.doi.org/10.1021/cg401180r" TargetMode="External"/><Relationship Id="rId56" Type="http://schemas.openxmlformats.org/officeDocument/2006/relationships/hyperlink" Target="http://dx.doi.org/10.1039/C5RA10459A" TargetMode="External"/><Relationship Id="rId64" Type="http://schemas.openxmlformats.org/officeDocument/2006/relationships/hyperlink" Target="http://dx.doi.org/10.1039/C5RA14633J" TargetMode="External"/><Relationship Id="rId69" Type="http://schemas.openxmlformats.org/officeDocument/2006/relationships/hyperlink" Target="https://www.ccdc.cam.ac.uk/structures/Search?Ccdcid=IQECIS&amp;DatabaseToSearch=Published" TargetMode="External"/><Relationship Id="rId77" Type="http://schemas.openxmlformats.org/officeDocument/2006/relationships/hyperlink" Target="https://www.ccdc.cam.ac.uk/structures/Search?Ccdcid=VOLPET&amp;DatabaseToSearch=Published" TargetMode="External"/><Relationship Id="rId100" Type="http://schemas.openxmlformats.org/officeDocument/2006/relationships/hyperlink" Target="http://dx.doi.org/10.1021/acs.cgd.7b00068" TargetMode="External"/><Relationship Id="rId105" Type="http://schemas.openxmlformats.org/officeDocument/2006/relationships/hyperlink" Target="https://www.ccdc.cam.ac.uk/structures/Search?Ccdcid=NUBPIL&amp;DatabaseToSearch=Published" TargetMode="External"/><Relationship Id="rId113" Type="http://schemas.openxmlformats.org/officeDocument/2006/relationships/hyperlink" Target="https://www.ccdc.cam.ac.uk/structures/Search?Ccdcid=EPOTAF&amp;DatabaseToSearch=Published" TargetMode="External"/><Relationship Id="rId118" Type="http://schemas.openxmlformats.org/officeDocument/2006/relationships/hyperlink" Target="http://dx.doi.org/10.1021/ic302018g" TargetMode="External"/><Relationship Id="rId126" Type="http://schemas.openxmlformats.org/officeDocument/2006/relationships/hyperlink" Target="http://dx.doi.org/10.1039/C5RA06204G" TargetMode="External"/><Relationship Id="rId134" Type="http://schemas.openxmlformats.org/officeDocument/2006/relationships/hyperlink" Target="https://www.ccdc.cam.ac.uk/structures/Search?Ccdcid=BAZFUF&amp;DatabaseToSearch=Published" TargetMode="External"/><Relationship Id="rId8" Type="http://schemas.openxmlformats.org/officeDocument/2006/relationships/hyperlink" Target="http://dx.doi.org/10.1021/ic1009169" TargetMode="External"/><Relationship Id="rId51" Type="http://schemas.openxmlformats.org/officeDocument/2006/relationships/hyperlink" Target="https://www.ccdc.cam.ac.uk/structures/Search?Ccdcid=NAHHOW&amp;DatabaseToSearch=Published" TargetMode="External"/><Relationship Id="rId72" Type="http://schemas.openxmlformats.org/officeDocument/2006/relationships/hyperlink" Target="http://dx.doi.org/10.1021/cg801026y" TargetMode="External"/><Relationship Id="rId80" Type="http://schemas.openxmlformats.org/officeDocument/2006/relationships/hyperlink" Target="http://dx.doi.org/10.1021/cg400164m" TargetMode="External"/><Relationship Id="rId85" Type="http://schemas.openxmlformats.org/officeDocument/2006/relationships/hyperlink" Target="https://www.ccdc.cam.ac.uk/structures/Search?Ccdcid=VAKLIF&amp;DatabaseToSearch=Published" TargetMode="External"/><Relationship Id="rId93" Type="http://schemas.openxmlformats.org/officeDocument/2006/relationships/hyperlink" Target="https://www.ccdc.cam.ac.uk/structures/Search?Ccdcid=MAYKOO&amp;DatabaseToSearch=Published" TargetMode="External"/><Relationship Id="rId98" Type="http://schemas.openxmlformats.org/officeDocument/2006/relationships/hyperlink" Target="http://dx.doi.org/10.1039/C6CE01035K" TargetMode="External"/><Relationship Id="rId121" Type="http://schemas.openxmlformats.org/officeDocument/2006/relationships/hyperlink" Target="https://www.ccdc.cam.ac.uk/structures/Search?Ccdcid=WIJXIY&amp;DatabaseToSearch=Published" TargetMode="External"/><Relationship Id="rId3" Type="http://schemas.openxmlformats.org/officeDocument/2006/relationships/hyperlink" Target="https://www.ccdc.cam.ac.uk/structures/Search?Ccdcid=VETMIS&amp;DatabaseToSearch=Published" TargetMode="External"/><Relationship Id="rId12" Type="http://schemas.openxmlformats.org/officeDocument/2006/relationships/hyperlink" Target="http://dx.doi.org/10.1021/ja302623w" TargetMode="External"/><Relationship Id="rId17" Type="http://schemas.openxmlformats.org/officeDocument/2006/relationships/hyperlink" Target="https://www.ccdc.cam.ac.uk/structures/Search?Ccdcid=HOVQAM&amp;DatabaseToSearch=Published" TargetMode="External"/><Relationship Id="rId25" Type="http://schemas.openxmlformats.org/officeDocument/2006/relationships/hyperlink" Target="https://www.ccdc.cam.ac.uk/structures/Search?Ccdcid=XAVKIR&amp;DatabaseToSearch=Published" TargetMode="External"/><Relationship Id="rId33" Type="http://schemas.openxmlformats.org/officeDocument/2006/relationships/hyperlink" Target="https://www.ccdc.cam.ac.uk/structures/Search?Ccdcid=ADASUV&amp;DatabaseToSearch=Published" TargetMode="External"/><Relationship Id="rId38" Type="http://schemas.openxmlformats.org/officeDocument/2006/relationships/hyperlink" Target="http://dx.doi.org/10.1002/anie.201201202" TargetMode="External"/><Relationship Id="rId46" Type="http://schemas.openxmlformats.org/officeDocument/2006/relationships/hyperlink" Target="http://dx.doi.org/10.1002/ejic.201601242" TargetMode="External"/><Relationship Id="rId59" Type="http://schemas.openxmlformats.org/officeDocument/2006/relationships/hyperlink" Target="https://www.ccdc.cam.ac.uk/structures/Search?Ccdcid=WIJXEU&amp;DatabaseToSearch=Published" TargetMode="External"/><Relationship Id="rId67" Type="http://schemas.openxmlformats.org/officeDocument/2006/relationships/hyperlink" Target="https://www.ccdc.cam.ac.uk/structures/Search?Ccdcid=TAGVAB&amp;DatabaseToSearch=Published" TargetMode="External"/><Relationship Id="rId103" Type="http://schemas.openxmlformats.org/officeDocument/2006/relationships/hyperlink" Target="https://www.ccdc.cam.ac.uk/structures/Search?Ccdcid=FATQID&amp;DatabaseToSearch=Published" TargetMode="External"/><Relationship Id="rId108" Type="http://schemas.openxmlformats.org/officeDocument/2006/relationships/hyperlink" Target="http://dx.doi.org/10.1002/anie.200904983" TargetMode="External"/><Relationship Id="rId116" Type="http://schemas.openxmlformats.org/officeDocument/2006/relationships/hyperlink" Target="http://dx.doi.org/10.1002/ejic.201501194" TargetMode="External"/><Relationship Id="rId124" Type="http://schemas.openxmlformats.org/officeDocument/2006/relationships/hyperlink" Target="http://dx.doi.org/10.1021/ic401870e" TargetMode="External"/><Relationship Id="rId129" Type="http://schemas.openxmlformats.org/officeDocument/2006/relationships/hyperlink" Target="https://www.ccdc.cam.ac.uk/structures/Search?Ccdcid=YIPDOR&amp;DatabaseToSearch=Published" TargetMode="External"/><Relationship Id="rId137" Type="http://schemas.openxmlformats.org/officeDocument/2006/relationships/printerSettings" Target="../printerSettings/printerSettings1.bin"/><Relationship Id="rId20" Type="http://schemas.openxmlformats.org/officeDocument/2006/relationships/hyperlink" Target="http://dx.doi.org/10.1039/c0nj00272k" TargetMode="External"/><Relationship Id="rId41" Type="http://schemas.openxmlformats.org/officeDocument/2006/relationships/hyperlink" Target="https://www.ccdc.cam.ac.uk/structures/Search?Ccdcid=ZOFZIF&amp;DatabaseToSearch=Published" TargetMode="External"/><Relationship Id="rId54" Type="http://schemas.openxmlformats.org/officeDocument/2006/relationships/hyperlink" Target="http://dx.doi.org/10.1039/C7CE00661F" TargetMode="External"/><Relationship Id="rId62" Type="http://schemas.openxmlformats.org/officeDocument/2006/relationships/hyperlink" Target="http://dx.doi.org/10.1039/C3CE27006H" TargetMode="External"/><Relationship Id="rId70" Type="http://schemas.openxmlformats.org/officeDocument/2006/relationships/hyperlink" Target="http://dx.doi.org/10.1002/chem.201600705" TargetMode="External"/><Relationship Id="rId75" Type="http://schemas.openxmlformats.org/officeDocument/2006/relationships/hyperlink" Target="https://www.ccdc.cam.ac.uk/structures/Search?Ccdcid=RAHPAT&amp;DatabaseToSearch=Published" TargetMode="External"/><Relationship Id="rId83" Type="http://schemas.openxmlformats.org/officeDocument/2006/relationships/hyperlink" Target="https://www.ccdc.cam.ac.uk/structures/Search?Ccdcid=JAJZAY&amp;DatabaseToSearch=Published" TargetMode="External"/><Relationship Id="rId88" Type="http://schemas.openxmlformats.org/officeDocument/2006/relationships/hyperlink" Target="http://dx.doi.org/10.1002/chem.200900341" TargetMode="External"/><Relationship Id="rId91" Type="http://schemas.openxmlformats.org/officeDocument/2006/relationships/hyperlink" Target="https://www.ccdc.cam.ac.uk/structures/Search?Ccdcid=KUJNEJ&amp;DatabaseToSearch=Published" TargetMode="External"/><Relationship Id="rId96" Type="http://schemas.openxmlformats.org/officeDocument/2006/relationships/hyperlink" Target="http://dx.doi.org/10.1002/asia.201301378" TargetMode="External"/><Relationship Id="rId111" Type="http://schemas.openxmlformats.org/officeDocument/2006/relationships/hyperlink" Target="https://www.ccdc.cam.ac.uk/structures/Search?Ccdcid=ANUGIA&amp;DatabaseToSearch=Published" TargetMode="External"/><Relationship Id="rId132" Type="http://schemas.openxmlformats.org/officeDocument/2006/relationships/hyperlink" Target="http://dx.doi.org/10.1021/ic201376t" TargetMode="External"/><Relationship Id="rId1" Type="http://schemas.openxmlformats.org/officeDocument/2006/relationships/hyperlink" Target="https://www.ccdc.cam.ac.uk/structures/Search?Ccdcid=SUNLAP&amp;DatabaseToSearch=Published" TargetMode="External"/><Relationship Id="rId6" Type="http://schemas.openxmlformats.org/officeDocument/2006/relationships/hyperlink" Target="https://www.ccdc.cam.ac.uk/structures/Search?Ccdcid=OMUSAS&amp;DatabaseToSearch=Published" TargetMode="External"/><Relationship Id="rId15" Type="http://schemas.openxmlformats.org/officeDocument/2006/relationships/hyperlink" Target="https://www.ccdc.cam.ac.uk/structures/Search?Ccdcid=ADASEF&amp;DatabaseToSearch=Published" TargetMode="External"/><Relationship Id="rId23" Type="http://schemas.openxmlformats.org/officeDocument/2006/relationships/hyperlink" Target="https://www.ccdc.cam.ac.uk/structures/Search?Ccdcid=PELRIJ&amp;DatabaseToSearch=Published" TargetMode="External"/><Relationship Id="rId28" Type="http://schemas.openxmlformats.org/officeDocument/2006/relationships/hyperlink" Target="https://www.ccdc.cam.ac.uk/structures/Search?Ccdcid=EBATUZ&amp;DatabaseToSearch=Published" TargetMode="External"/><Relationship Id="rId36" Type="http://schemas.openxmlformats.org/officeDocument/2006/relationships/hyperlink" Target="http://dx.doi.org/10.1002/anie.201201202" TargetMode="External"/><Relationship Id="rId49" Type="http://schemas.openxmlformats.org/officeDocument/2006/relationships/hyperlink" Target="https://www.ccdc.cam.ac.uk/structures/Search?Ccdcid=LOFJAT&amp;DatabaseToSearch=Published" TargetMode="External"/><Relationship Id="rId57" Type="http://schemas.openxmlformats.org/officeDocument/2006/relationships/hyperlink" Target="https://www.ccdc.cam.ac.uk/structures/Search?Ccdcid=EHUTAE&amp;DatabaseToSearch=Published" TargetMode="External"/><Relationship Id="rId106" Type="http://schemas.openxmlformats.org/officeDocument/2006/relationships/hyperlink" Target="http://dx.doi.org/10.1039/C4DT03371J" TargetMode="External"/><Relationship Id="rId114" Type="http://schemas.openxmlformats.org/officeDocument/2006/relationships/hyperlink" Target="http://dx.doi.org/10.1039/c0cc05199c" TargetMode="External"/><Relationship Id="rId119" Type="http://schemas.openxmlformats.org/officeDocument/2006/relationships/hyperlink" Target="https://www.ccdc.cam.ac.uk/structures/Search?Ccdcid=BINSAU&amp;DatabaseToSearch=Published" TargetMode="External"/><Relationship Id="rId127" Type="http://schemas.openxmlformats.org/officeDocument/2006/relationships/hyperlink" Target="https://www.ccdc.cam.ac.uk/structures/Search?Ccdcid=WAGQAY&amp;DatabaseToSearch=Published" TargetMode="External"/><Relationship Id="rId10" Type="http://schemas.openxmlformats.org/officeDocument/2006/relationships/hyperlink" Target="https://www.ccdc.cam.ac.uk/structures/Search?Ccdcid=ADATIK&amp;DatabaseToSearch=Published" TargetMode="External"/><Relationship Id="rId31" Type="http://schemas.openxmlformats.org/officeDocument/2006/relationships/hyperlink" Target="https://www.ccdc.cam.ac.uk/structures/Search?Ccdcid=HULCOI&amp;DatabaseToSearch=Published" TargetMode="External"/><Relationship Id="rId44" Type="http://schemas.openxmlformats.org/officeDocument/2006/relationships/hyperlink" Target="http://dx.doi.org/10.1016/j.micromeso.2013.07.019" TargetMode="External"/><Relationship Id="rId52" Type="http://schemas.openxmlformats.org/officeDocument/2006/relationships/hyperlink" Target="http://dx.doi.org/10.1039/C5DT04943A" TargetMode="External"/><Relationship Id="rId60" Type="http://schemas.openxmlformats.org/officeDocument/2006/relationships/hyperlink" Target="http://dx.doi.org/10.1016/j.jssc.2013.08.026" TargetMode="External"/><Relationship Id="rId65" Type="http://schemas.openxmlformats.org/officeDocument/2006/relationships/hyperlink" Target="https://www.ccdc.cam.ac.uk/structures/Search?Ccdcid=QUTDAM&amp;DatabaseToSearch=Published" TargetMode="External"/><Relationship Id="rId73" Type="http://schemas.openxmlformats.org/officeDocument/2006/relationships/hyperlink" Target="https://www.ccdc.cam.ac.uk/structures/Search?Ccdcid=YUGLES&amp;DatabaseToSearch=Published" TargetMode="External"/><Relationship Id="rId78" Type="http://schemas.openxmlformats.org/officeDocument/2006/relationships/hyperlink" Target="http://dx.doi.org/10.1021/cg500436g" TargetMode="External"/><Relationship Id="rId81" Type="http://schemas.openxmlformats.org/officeDocument/2006/relationships/hyperlink" Target="https://www.ccdc.cam.ac.uk/structures/Search?Ccdcid=DUNYOC&amp;DatabaseToSearch=Published" TargetMode="External"/><Relationship Id="rId86" Type="http://schemas.openxmlformats.org/officeDocument/2006/relationships/hyperlink" Target="http://dx.doi.org/10.1039/C5CE02090E" TargetMode="External"/><Relationship Id="rId94" Type="http://schemas.openxmlformats.org/officeDocument/2006/relationships/hyperlink" Target="http://dx.doi.org/10.1021/ic300950h" TargetMode="External"/><Relationship Id="rId99" Type="http://schemas.openxmlformats.org/officeDocument/2006/relationships/hyperlink" Target="https://www.ccdc.cam.ac.uk/structures/Search?Ccdcid=NAWXER&amp;DatabaseToSearch=Published" TargetMode="External"/><Relationship Id="rId101" Type="http://schemas.openxmlformats.org/officeDocument/2006/relationships/hyperlink" Target="https://www.ccdc.cam.ac.uk/structures/Search?Ccdcid=RUVKAV&amp;DatabaseToSearch=Published" TargetMode="External"/><Relationship Id="rId122" Type="http://schemas.openxmlformats.org/officeDocument/2006/relationships/hyperlink" Target="http://dx.doi.org/10.1016/j.jssc.2013.08.026" TargetMode="External"/><Relationship Id="rId130" Type="http://schemas.openxmlformats.org/officeDocument/2006/relationships/hyperlink" Target="http://dx.doi.org/10.1039/b709563e" TargetMode="External"/><Relationship Id="rId135" Type="http://schemas.openxmlformats.org/officeDocument/2006/relationships/hyperlink" Target="https://www.ccdc.cam.ac.uk/structures/Search?Ccdcid=HUNCIE&amp;DatabaseToSearch=Published" TargetMode="External"/><Relationship Id="rId4" Type="http://schemas.openxmlformats.org/officeDocument/2006/relationships/hyperlink" Target="http://dx.doi.org/10.1002/chem.201203093" TargetMode="External"/><Relationship Id="rId9" Type="http://schemas.openxmlformats.org/officeDocument/2006/relationships/hyperlink" Target="http://dx.doi.org/10.1002/anie.201201202" TargetMode="External"/><Relationship Id="rId13" Type="http://schemas.openxmlformats.org/officeDocument/2006/relationships/hyperlink" Target="https://www.ccdc.cam.ac.uk/structures/Search?Ccdcid=PODKUQ&amp;DatabaseToSearch=Published" TargetMode="External"/><Relationship Id="rId18" Type="http://schemas.openxmlformats.org/officeDocument/2006/relationships/hyperlink" Target="http://dx.doi.org/10.1016/j.poly.2015.01.039" TargetMode="External"/><Relationship Id="rId39" Type="http://schemas.openxmlformats.org/officeDocument/2006/relationships/hyperlink" Target="https://www.ccdc.cam.ac.uk/structures/Search?Ccdcid=ZOFZOL&amp;DatabaseToSearch=Published" TargetMode="External"/><Relationship Id="rId109" Type="http://schemas.openxmlformats.org/officeDocument/2006/relationships/hyperlink" Target="https://www.ccdc.cam.ac.uk/structures/Search?Ccdcid=ANUGOG&amp;DatabaseToSearch=Published" TargetMode="External"/><Relationship Id="rId34" Type="http://schemas.openxmlformats.org/officeDocument/2006/relationships/hyperlink" Target="http://dx.doi.org/10.1002/anie.201201202" TargetMode="External"/><Relationship Id="rId50" Type="http://schemas.openxmlformats.org/officeDocument/2006/relationships/hyperlink" Target="http://dx.doi.org/10.1016/j.micromeso.2014.01.023" TargetMode="External"/><Relationship Id="rId55" Type="http://schemas.openxmlformats.org/officeDocument/2006/relationships/hyperlink" Target="https://www.ccdc.cam.ac.uk/structures/Search?Ccdcid=JUTCIM&amp;DatabaseToSearch=Published" TargetMode="External"/><Relationship Id="rId76" Type="http://schemas.openxmlformats.org/officeDocument/2006/relationships/hyperlink" Target="http://dx.doi.org/10.1002/chem.201101341" TargetMode="External"/><Relationship Id="rId97" Type="http://schemas.openxmlformats.org/officeDocument/2006/relationships/hyperlink" Target="https://www.ccdc.cam.ac.uk/structures/Search?Ccdcid=ENESOH&amp;DatabaseToSearch=Published" TargetMode="External"/><Relationship Id="rId104" Type="http://schemas.openxmlformats.org/officeDocument/2006/relationships/hyperlink" Target="http://dx.doi.org/10.1039/C7DT00192D" TargetMode="External"/><Relationship Id="rId120" Type="http://schemas.openxmlformats.org/officeDocument/2006/relationships/hyperlink" Target="http://dx.doi.org/10.1021/ic401870e" TargetMode="External"/><Relationship Id="rId125" Type="http://schemas.openxmlformats.org/officeDocument/2006/relationships/hyperlink" Target="https://www.ccdc.cam.ac.uk/structures/Search?Ccdcid=GUHMIH&amp;DatabaseToSearch=Published" TargetMode="External"/><Relationship Id="rId7" Type="http://schemas.openxmlformats.org/officeDocument/2006/relationships/hyperlink" Target="https://www.ccdc.cam.ac.uk/structures/Search?Ccdcid=OWIZAW&amp;DatabaseToSearch=Published" TargetMode="External"/><Relationship Id="rId71" Type="http://schemas.openxmlformats.org/officeDocument/2006/relationships/hyperlink" Target="https://www.ccdc.cam.ac.uk/structures/Search?Ccdcid=MOYYIJ&amp;DatabaseToSearch=Published" TargetMode="External"/><Relationship Id="rId92" Type="http://schemas.openxmlformats.org/officeDocument/2006/relationships/hyperlink" Target="http://dx.doi.org/10.1002/anie.200901964" TargetMode="External"/><Relationship Id="rId2" Type="http://schemas.openxmlformats.org/officeDocument/2006/relationships/hyperlink" Target="https://doi.org/10.1002/anie.200806227" TargetMode="External"/><Relationship Id="rId29" Type="http://schemas.openxmlformats.org/officeDocument/2006/relationships/hyperlink" Target="https://www.ccdc.cam.ac.uk/structures/Search?Ccdcid=PEWLUA&amp;DatabaseToSearch=Published" TargetMode="External"/><Relationship Id="rId24" Type="http://schemas.openxmlformats.org/officeDocument/2006/relationships/hyperlink" Target="http://dx.doi.org/10.1039/c2ce26015h" TargetMode="External"/><Relationship Id="rId40" Type="http://schemas.openxmlformats.org/officeDocument/2006/relationships/hyperlink" Target="http://dx.doi.org/10.1039/C4QI00047A" TargetMode="External"/><Relationship Id="rId45" Type="http://schemas.openxmlformats.org/officeDocument/2006/relationships/hyperlink" Target="https://www.ccdc.cam.ac.uk/structures/Search?Ccdcid=MAQBIS&amp;DatabaseToSearch=Published" TargetMode="External"/><Relationship Id="rId66" Type="http://schemas.openxmlformats.org/officeDocument/2006/relationships/hyperlink" Target="http://dx.doi.org/10.1039/C5DT01943E" TargetMode="External"/><Relationship Id="rId87" Type="http://schemas.openxmlformats.org/officeDocument/2006/relationships/hyperlink" Target="https://www.ccdc.cam.ac.uk/structures/Search?Ccdcid=YOZQEK&amp;DatabaseToSearch=Published" TargetMode="External"/><Relationship Id="rId110" Type="http://schemas.openxmlformats.org/officeDocument/2006/relationships/hyperlink" Target="http://dx.doi.org/10.1021/ja107423k" TargetMode="External"/><Relationship Id="rId115" Type="http://schemas.openxmlformats.org/officeDocument/2006/relationships/hyperlink" Target="https://www.ccdc.cam.ac.uk/structures/Search?Ccdcid=FAGQAI&amp;DatabaseToSearch=Published" TargetMode="External"/><Relationship Id="rId131" Type="http://schemas.openxmlformats.org/officeDocument/2006/relationships/hyperlink" Target="https://www.ccdc.cam.ac.uk/structures/Search?Ccdcid=BAZFUF&amp;DatabaseToSearch=Published" TargetMode="External"/><Relationship Id="rId136" Type="http://schemas.openxmlformats.org/officeDocument/2006/relationships/hyperlink" Target="http://dx.doi.org/10.1021/acs.cgd.5b00675" TargetMode="External"/><Relationship Id="rId61" Type="http://schemas.openxmlformats.org/officeDocument/2006/relationships/hyperlink" Target="https://www.ccdc.cam.ac.uk/structures/Search?Ccdcid=BEXVEH&amp;DatabaseToSearch=Published" TargetMode="External"/><Relationship Id="rId82" Type="http://schemas.openxmlformats.org/officeDocument/2006/relationships/hyperlink" Target="http://dx.doi.org/10.1039/C5NJ02634B" TargetMode="External"/><Relationship Id="rId19" Type="http://schemas.openxmlformats.org/officeDocument/2006/relationships/hyperlink" Target="https://www.ccdc.cam.ac.uk/structures/Search?Ccdcid=GAHWIX&amp;DatabaseToSearch=Publishe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C29D-B9E3-488E-98FB-E85394E5A2F1}">
  <dimension ref="A1:BB86"/>
  <sheetViews>
    <sheetView tabSelected="1" topLeftCell="A43" zoomScale="50" zoomScaleNormal="50" workbookViewId="0">
      <selection activeCell="C1" sqref="C1"/>
    </sheetView>
  </sheetViews>
  <sheetFormatPr defaultRowHeight="15" x14ac:dyDescent="0.25"/>
  <cols>
    <col min="3" max="3" width="65.85546875" customWidth="1"/>
  </cols>
  <sheetData>
    <row r="1" spans="1:54" s="7" customFormat="1" ht="75" x14ac:dyDescent="0.25">
      <c r="A1" s="13" t="s">
        <v>694</v>
      </c>
      <c r="B1" s="14" t="s">
        <v>695</v>
      </c>
      <c r="C1" s="13" t="s">
        <v>696</v>
      </c>
      <c r="D1" s="13" t="s">
        <v>697</v>
      </c>
      <c r="E1" s="14" t="s">
        <v>698</v>
      </c>
      <c r="F1" s="14" t="s">
        <v>699</v>
      </c>
      <c r="G1" s="14" t="s">
        <v>682</v>
      </c>
      <c r="H1" s="14" t="s">
        <v>683</v>
      </c>
      <c r="I1" s="13" t="s">
        <v>700</v>
      </c>
      <c r="J1" s="13" t="s">
        <v>701</v>
      </c>
      <c r="K1" s="13" t="s">
        <v>702</v>
      </c>
      <c r="L1" s="13" t="s">
        <v>703</v>
      </c>
      <c r="M1" s="13" t="s">
        <v>704</v>
      </c>
      <c r="N1" s="13" t="s">
        <v>705</v>
      </c>
      <c r="O1" s="13" t="s">
        <v>706</v>
      </c>
      <c r="P1" s="13" t="s">
        <v>707</v>
      </c>
      <c r="Q1" s="13" t="s">
        <v>708</v>
      </c>
      <c r="R1" s="13" t="s">
        <v>709</v>
      </c>
      <c r="S1" s="13" t="s">
        <v>710</v>
      </c>
      <c r="T1" s="13" t="s">
        <v>711</v>
      </c>
      <c r="U1" s="13" t="s">
        <v>712</v>
      </c>
      <c r="V1" s="13" t="s">
        <v>765</v>
      </c>
      <c r="W1" s="13" t="s">
        <v>764</v>
      </c>
      <c r="X1" s="13" t="s">
        <v>763</v>
      </c>
      <c r="Y1" s="13" t="s">
        <v>713</v>
      </c>
      <c r="Z1" s="13" t="s">
        <v>714</v>
      </c>
      <c r="AA1" s="13" t="s">
        <v>715</v>
      </c>
      <c r="AB1" s="13" t="s">
        <v>716</v>
      </c>
      <c r="AC1" s="13" t="s">
        <v>717</v>
      </c>
      <c r="AD1" s="13" t="s">
        <v>718</v>
      </c>
      <c r="AE1" s="14" t="s">
        <v>719</v>
      </c>
      <c r="AF1" s="14" t="s">
        <v>720</v>
      </c>
      <c r="AG1" s="14" t="s">
        <v>721</v>
      </c>
      <c r="AH1" s="14" t="s">
        <v>745</v>
      </c>
      <c r="AI1" s="14" t="s">
        <v>722</v>
      </c>
      <c r="AJ1" s="14" t="s">
        <v>723</v>
      </c>
      <c r="AK1" s="14" t="s">
        <v>724</v>
      </c>
      <c r="AL1" s="13" t="s">
        <v>725</v>
      </c>
      <c r="AM1" s="13" t="s">
        <v>726</v>
      </c>
      <c r="AN1" s="13" t="s">
        <v>727</v>
      </c>
      <c r="AO1" s="14" t="s">
        <v>728</v>
      </c>
      <c r="AP1" s="14" t="s">
        <v>729</v>
      </c>
      <c r="AQ1" s="14" t="s">
        <v>730</v>
      </c>
      <c r="AR1" s="14" t="s">
        <v>746</v>
      </c>
      <c r="AS1" s="14" t="s">
        <v>731</v>
      </c>
      <c r="AT1" s="14" t="s">
        <v>732</v>
      </c>
      <c r="AU1" s="14" t="s">
        <v>733</v>
      </c>
      <c r="AV1" s="13" t="s">
        <v>734</v>
      </c>
      <c r="AW1" s="13" t="s">
        <v>735</v>
      </c>
      <c r="AX1" s="15" t="s">
        <v>736</v>
      </c>
      <c r="AY1" s="16" t="s">
        <v>737</v>
      </c>
      <c r="AZ1" s="16" t="s">
        <v>738</v>
      </c>
      <c r="BA1" s="16" t="s">
        <v>739</v>
      </c>
    </row>
    <row r="2" spans="1:54" s="7" customFormat="1" x14ac:dyDescent="0.25">
      <c r="A2" s="7" t="s">
        <v>0</v>
      </c>
      <c r="B2" s="7" t="s">
        <v>1</v>
      </c>
      <c r="C2" s="8" t="s">
        <v>2</v>
      </c>
      <c r="D2" s="8" t="s">
        <v>3</v>
      </c>
      <c r="E2" s="7">
        <v>13.69</v>
      </c>
      <c r="F2" s="7">
        <v>46.16</v>
      </c>
      <c r="G2" s="7">
        <v>13.11058288799047</v>
      </c>
      <c r="H2" s="7">
        <v>43.382348418278937</v>
      </c>
      <c r="I2" s="9" t="s">
        <v>4</v>
      </c>
      <c r="J2" s="7">
        <v>80</v>
      </c>
      <c r="K2" s="7">
        <v>24</v>
      </c>
      <c r="L2" s="10">
        <v>0.5</v>
      </c>
      <c r="M2" s="7">
        <f>0.5*16.59</f>
        <v>8.2949999999999999</v>
      </c>
      <c r="N2" s="7" t="s">
        <v>681</v>
      </c>
      <c r="O2" s="7">
        <v>1</v>
      </c>
      <c r="P2" s="7">
        <v>2</v>
      </c>
      <c r="Q2" s="7" t="s">
        <v>5</v>
      </c>
      <c r="R2" s="7">
        <v>10</v>
      </c>
      <c r="S2" s="7">
        <v>0.3</v>
      </c>
      <c r="T2" s="7" t="s">
        <v>685</v>
      </c>
      <c r="U2" s="7">
        <v>16</v>
      </c>
      <c r="V2" s="10">
        <v>0.65</v>
      </c>
      <c r="W2" s="7">
        <f>30/1000</f>
        <v>0.03</v>
      </c>
      <c r="X2" s="10">
        <f>V2</f>
        <v>0.65</v>
      </c>
      <c r="Y2" s="7">
        <f>W2*X2/Solvent!K17</f>
        <v>2.8676470588235293E-2</v>
      </c>
      <c r="Z2" s="7" t="s">
        <v>6</v>
      </c>
      <c r="AA2" s="7">
        <v>29</v>
      </c>
      <c r="AB2" s="7">
        <f>10</f>
        <v>10</v>
      </c>
      <c r="AC2" s="7">
        <v>2.1499999999999998E-2</v>
      </c>
      <c r="AD2" s="7" t="s">
        <v>7</v>
      </c>
      <c r="AE2" s="7" t="s">
        <v>8</v>
      </c>
      <c r="AF2" s="7" t="s">
        <v>9</v>
      </c>
      <c r="AG2" s="7" t="s">
        <v>10</v>
      </c>
      <c r="AH2" s="7" t="s">
        <v>11</v>
      </c>
      <c r="AI2" s="7" t="s">
        <v>12</v>
      </c>
      <c r="AJ2" s="7">
        <v>1</v>
      </c>
      <c r="AK2" s="7">
        <v>0.98</v>
      </c>
      <c r="AL2" s="7">
        <v>5</v>
      </c>
      <c r="AM2" s="7">
        <v>6.4999999999999997E-3</v>
      </c>
      <c r="AX2" s="11">
        <v>161.5</v>
      </c>
      <c r="AY2" s="7">
        <v>0.8075</v>
      </c>
      <c r="BA2" s="7">
        <v>0</v>
      </c>
      <c r="BB2" s="17"/>
    </row>
    <row r="3" spans="1:54" s="7" customFormat="1" x14ac:dyDescent="0.25">
      <c r="A3" s="7" t="s">
        <v>13</v>
      </c>
      <c r="C3" s="8" t="s">
        <v>14</v>
      </c>
      <c r="D3" s="8" t="s">
        <v>15</v>
      </c>
      <c r="E3" s="7">
        <v>13.37</v>
      </c>
      <c r="F3" s="7">
        <v>46.97</v>
      </c>
      <c r="G3" s="7">
        <v>12.87431270396972</v>
      </c>
      <c r="H3" s="7">
        <v>44.715887237217977</v>
      </c>
      <c r="I3" s="9" t="s">
        <v>4</v>
      </c>
      <c r="J3" s="7">
        <v>80</v>
      </c>
      <c r="K3" s="7">
        <f>2*7*24</f>
        <v>336</v>
      </c>
      <c r="L3" s="10">
        <v>0.42</v>
      </c>
      <c r="M3" s="7">
        <v>16.5</v>
      </c>
      <c r="N3" s="7" t="s">
        <v>16</v>
      </c>
      <c r="O3" s="7">
        <v>3</v>
      </c>
      <c r="P3" s="7">
        <v>3</v>
      </c>
      <c r="Q3" s="7" t="s">
        <v>5</v>
      </c>
      <c r="R3" s="7">
        <v>10</v>
      </c>
      <c r="S3" s="7">
        <v>1</v>
      </c>
      <c r="T3" s="7" t="s">
        <v>686</v>
      </c>
      <c r="U3" s="7">
        <v>17</v>
      </c>
      <c r="V3" s="7">
        <v>3</v>
      </c>
      <c r="W3" s="7">
        <v>0.6</v>
      </c>
      <c r="X3" s="12">
        <f>V3*17.3/(0.9*1000)</f>
        <v>5.7666666666666672E-2</v>
      </c>
      <c r="Y3" s="7">
        <f>W3*X3/Solvent!K18</f>
        <v>0.1384</v>
      </c>
      <c r="Z3" s="7" t="s">
        <v>6</v>
      </c>
      <c r="AA3" s="7">
        <v>29</v>
      </c>
      <c r="AB3" s="7">
        <v>40</v>
      </c>
      <c r="AC3" s="7">
        <v>0.17</v>
      </c>
      <c r="AD3" s="7" t="s">
        <v>7</v>
      </c>
      <c r="AG3" s="7" t="s">
        <v>17</v>
      </c>
      <c r="AH3" s="7" t="s">
        <v>18</v>
      </c>
      <c r="AL3" s="7">
        <v>20</v>
      </c>
      <c r="AM3" s="7">
        <v>2.4E-2</v>
      </c>
      <c r="AX3" s="11"/>
      <c r="AY3" s="7">
        <v>0</v>
      </c>
      <c r="BA3" s="7">
        <v>0</v>
      </c>
    </row>
    <row r="4" spans="1:54" s="7" customFormat="1" x14ac:dyDescent="0.25">
      <c r="A4" s="7" t="s">
        <v>19</v>
      </c>
      <c r="C4" s="8" t="s">
        <v>20</v>
      </c>
      <c r="D4" s="8" t="s">
        <v>21</v>
      </c>
      <c r="E4" s="7">
        <v>13.27</v>
      </c>
      <c r="F4" s="7">
        <v>47.75</v>
      </c>
      <c r="G4" s="7">
        <v>12.62908454935056</v>
      </c>
      <c r="H4" s="7">
        <v>44.990621253438938</v>
      </c>
      <c r="I4" s="9" t="s">
        <v>4</v>
      </c>
      <c r="J4" s="7">
        <f>358-273</f>
        <v>85</v>
      </c>
      <c r="K4" s="7">
        <v>72</v>
      </c>
      <c r="L4" s="10">
        <v>0.78</v>
      </c>
      <c r="M4" s="7">
        <f>(0.1*3*(62*12+91*1+63.5+9*14+13*16))*0.78</f>
        <v>288.40500000000003</v>
      </c>
      <c r="N4" s="7" t="s">
        <v>681</v>
      </c>
      <c r="O4" s="7">
        <v>1</v>
      </c>
      <c r="P4" s="7">
        <v>5</v>
      </c>
      <c r="T4" s="7" t="s">
        <v>687</v>
      </c>
      <c r="U4" s="7">
        <v>18</v>
      </c>
      <c r="V4" s="10">
        <v>0.48</v>
      </c>
      <c r="W4" s="7">
        <v>0.2</v>
      </c>
      <c r="X4" s="10">
        <f>V4</f>
        <v>0.48</v>
      </c>
      <c r="Y4" s="7">
        <f>X4*W4/(Solvent!K19)</f>
        <v>9.696969696969697E-2</v>
      </c>
      <c r="Z4" s="7" t="s">
        <v>22</v>
      </c>
      <c r="AA4" s="7">
        <v>30</v>
      </c>
      <c r="AB4" s="7">
        <f>0.121*1000</f>
        <v>121</v>
      </c>
      <c r="AC4" s="7">
        <v>0.5</v>
      </c>
      <c r="AD4" s="7" t="s">
        <v>23</v>
      </c>
      <c r="AG4" s="7" t="s">
        <v>24</v>
      </c>
      <c r="AH4" s="7" t="s">
        <v>25</v>
      </c>
      <c r="AL4" s="7">
        <f>0.137*1000</f>
        <v>137</v>
      </c>
      <c r="AM4" s="7">
        <v>0.1</v>
      </c>
      <c r="AX4" s="11"/>
      <c r="AY4" s="7">
        <v>0</v>
      </c>
      <c r="BA4" s="7">
        <v>0</v>
      </c>
    </row>
    <row r="5" spans="1:54" s="7" customFormat="1" x14ac:dyDescent="0.25">
      <c r="A5" s="7" t="s">
        <v>26</v>
      </c>
      <c r="C5" s="8" t="s">
        <v>27</v>
      </c>
      <c r="D5" s="8" t="s">
        <v>28</v>
      </c>
      <c r="E5" s="7">
        <v>12.5</v>
      </c>
      <c r="F5" s="7">
        <v>48.58</v>
      </c>
      <c r="G5" s="7">
        <v>11.698569697475969</v>
      </c>
      <c r="H5" s="7">
        <v>45.064269650008271</v>
      </c>
      <c r="I5" s="9" t="s">
        <v>4</v>
      </c>
      <c r="J5" s="7">
        <v>85</v>
      </c>
      <c r="K5" s="7">
        <v>48</v>
      </c>
      <c r="L5" s="10">
        <v>0.26</v>
      </c>
      <c r="M5" s="7">
        <v>18.600000000000001</v>
      </c>
      <c r="N5" s="7" t="s">
        <v>16</v>
      </c>
      <c r="O5" s="7">
        <v>3</v>
      </c>
      <c r="P5" s="7">
        <v>5</v>
      </c>
      <c r="Q5" s="7" t="s">
        <v>29</v>
      </c>
      <c r="R5" s="7">
        <v>5</v>
      </c>
      <c r="S5" s="7">
        <v>5</v>
      </c>
      <c r="Z5" s="7" t="s">
        <v>6</v>
      </c>
      <c r="AA5" s="7">
        <v>29</v>
      </c>
      <c r="AB5" s="7">
        <v>33.299999999999997</v>
      </c>
      <c r="AC5" s="7">
        <v>0.14299999999999999</v>
      </c>
      <c r="AD5" s="7" t="s">
        <v>30</v>
      </c>
      <c r="AE5" s="7" t="s">
        <v>31</v>
      </c>
      <c r="AF5" s="7" t="s">
        <v>32</v>
      </c>
      <c r="AG5" s="7" t="s">
        <v>33</v>
      </c>
      <c r="AH5" s="7" t="s">
        <v>34</v>
      </c>
      <c r="AI5" s="7" t="s">
        <v>35</v>
      </c>
      <c r="AJ5" s="7">
        <v>25</v>
      </c>
      <c r="AK5" s="7">
        <v>0.99</v>
      </c>
      <c r="AL5" s="7">
        <v>30.4</v>
      </c>
      <c r="AM5" s="7">
        <v>4.5999999999999999E-2</v>
      </c>
      <c r="AX5" s="11">
        <v>6.8679999999999994</v>
      </c>
      <c r="AY5" s="7">
        <v>0.20878719999999998</v>
      </c>
      <c r="BA5" s="7">
        <v>0</v>
      </c>
    </row>
    <row r="6" spans="1:54" s="7" customFormat="1" ht="18" x14ac:dyDescent="0.35">
      <c r="A6" s="7" t="s">
        <v>36</v>
      </c>
      <c r="B6" s="7" t="s">
        <v>37</v>
      </c>
      <c r="C6" s="8" t="s">
        <v>38</v>
      </c>
      <c r="D6" s="8" t="s">
        <v>28</v>
      </c>
      <c r="E6" s="7">
        <v>12.44</v>
      </c>
      <c r="F6" s="7">
        <v>48.6</v>
      </c>
      <c r="G6" s="7">
        <v>11.65375692030813</v>
      </c>
      <c r="H6" s="7">
        <v>44.895629923839032</v>
      </c>
      <c r="I6" s="9" t="s">
        <v>4</v>
      </c>
      <c r="J6" s="7">
        <f>353-273</f>
        <v>80</v>
      </c>
      <c r="K6" s="7">
        <v>20</v>
      </c>
      <c r="L6" s="10">
        <f>29%</f>
        <v>0.28999999999999998</v>
      </c>
      <c r="M6" s="7">
        <f>L6*109</f>
        <v>31.61</v>
      </c>
      <c r="N6" s="7" t="s">
        <v>16</v>
      </c>
      <c r="O6" s="7">
        <v>3</v>
      </c>
      <c r="P6" s="7">
        <v>5</v>
      </c>
      <c r="Q6" s="7" t="s">
        <v>39</v>
      </c>
      <c r="R6" s="7">
        <v>12</v>
      </c>
      <c r="S6" s="7">
        <v>5</v>
      </c>
      <c r="Z6" s="7" t="s">
        <v>22</v>
      </c>
      <c r="AA6" s="7">
        <v>30</v>
      </c>
      <c r="AB6" s="7">
        <v>241</v>
      </c>
      <c r="AC6" s="7">
        <v>1</v>
      </c>
      <c r="AD6" s="7" t="s">
        <v>766</v>
      </c>
      <c r="AE6" s="7" t="s">
        <v>40</v>
      </c>
      <c r="AF6" s="7" t="s">
        <v>41</v>
      </c>
      <c r="AG6" s="7" t="s">
        <v>42</v>
      </c>
      <c r="AH6" s="7" t="s">
        <v>43</v>
      </c>
      <c r="AI6" s="7" t="s">
        <v>44</v>
      </c>
      <c r="AJ6" s="7">
        <v>5</v>
      </c>
      <c r="AK6" s="7">
        <v>0.9</v>
      </c>
      <c r="AL6" s="7">
        <v>109</v>
      </c>
      <c r="AM6" s="7">
        <v>0.25</v>
      </c>
      <c r="AN6" s="7" t="s">
        <v>45</v>
      </c>
      <c r="AP6" s="7" t="s">
        <v>46</v>
      </c>
      <c r="AV6" s="7">
        <v>42</v>
      </c>
      <c r="AW6" s="7">
        <v>0.27</v>
      </c>
      <c r="AX6" s="11">
        <v>48.279999999999994</v>
      </c>
      <c r="AY6" s="7">
        <v>5.2625200000000003</v>
      </c>
      <c r="AZ6" s="7">
        <v>0.29070000000000001</v>
      </c>
      <c r="BA6" s="7">
        <v>1.22094E-2</v>
      </c>
    </row>
    <row r="7" spans="1:54" s="7" customFormat="1" x14ac:dyDescent="0.25">
      <c r="A7" s="7" t="s">
        <v>47</v>
      </c>
      <c r="B7" s="7" t="s">
        <v>48</v>
      </c>
      <c r="C7" s="8" t="s">
        <v>49</v>
      </c>
      <c r="D7" s="8" t="s">
        <v>50</v>
      </c>
      <c r="E7" s="7">
        <v>11.75</v>
      </c>
      <c r="F7" s="7">
        <v>42.34</v>
      </c>
      <c r="G7" s="7">
        <v>11.62626536931227</v>
      </c>
      <c r="H7" s="7">
        <v>44.343849331861207</v>
      </c>
      <c r="I7" s="9" t="s">
        <v>4</v>
      </c>
      <c r="J7" s="7">
        <v>90</v>
      </c>
      <c r="K7" s="7">
        <v>48</v>
      </c>
      <c r="L7" s="18">
        <f>50%</f>
        <v>0.5</v>
      </c>
      <c r="M7" s="7">
        <f>50.8*L7</f>
        <v>25.4</v>
      </c>
      <c r="N7" s="7" t="s">
        <v>16</v>
      </c>
      <c r="O7" s="7">
        <v>3</v>
      </c>
      <c r="P7" s="7">
        <v>10</v>
      </c>
      <c r="Q7" s="7" t="s">
        <v>51</v>
      </c>
      <c r="R7" s="7">
        <v>11</v>
      </c>
      <c r="S7" s="7">
        <v>0.3</v>
      </c>
      <c r="Z7" s="7" t="s">
        <v>52</v>
      </c>
      <c r="AA7" s="7">
        <v>44</v>
      </c>
      <c r="AB7" s="7">
        <v>60</v>
      </c>
      <c r="AD7" s="7" t="s">
        <v>53</v>
      </c>
      <c r="AG7" s="7" t="s">
        <v>54</v>
      </c>
      <c r="AH7" s="7" t="s">
        <v>55</v>
      </c>
      <c r="AL7" s="7">
        <v>45</v>
      </c>
      <c r="AX7" s="11"/>
      <c r="AY7" s="7">
        <v>0</v>
      </c>
      <c r="BA7" s="7">
        <v>0</v>
      </c>
    </row>
    <row r="8" spans="1:54" s="7" customFormat="1" ht="18" x14ac:dyDescent="0.35">
      <c r="A8" s="7" t="s">
        <v>56</v>
      </c>
      <c r="B8" s="7" t="s">
        <v>57</v>
      </c>
      <c r="C8" s="8" t="s">
        <v>58</v>
      </c>
      <c r="D8" s="8" t="s">
        <v>59</v>
      </c>
      <c r="E8" s="7">
        <v>11.43</v>
      </c>
      <c r="F8" s="7">
        <v>48.88</v>
      </c>
      <c r="G8" s="7">
        <v>10.80211452396683</v>
      </c>
      <c r="H8" s="7">
        <v>46.293327263910328</v>
      </c>
      <c r="I8" s="9" t="s">
        <v>4</v>
      </c>
      <c r="J8" s="7">
        <v>80</v>
      </c>
      <c r="K8" s="7">
        <v>48</v>
      </c>
      <c r="L8" s="19">
        <v>0.187</v>
      </c>
      <c r="M8" s="7">
        <v>8.5</v>
      </c>
      <c r="N8" s="7" t="s">
        <v>60</v>
      </c>
      <c r="O8" s="7">
        <v>4</v>
      </c>
      <c r="P8" s="7">
        <v>7</v>
      </c>
      <c r="Q8" s="7" t="s">
        <v>5</v>
      </c>
      <c r="R8" s="7">
        <v>10</v>
      </c>
      <c r="S8" s="7">
        <v>1</v>
      </c>
      <c r="T8" s="7" t="s">
        <v>688</v>
      </c>
      <c r="U8" s="7">
        <v>19</v>
      </c>
      <c r="V8" s="7">
        <v>3</v>
      </c>
      <c r="W8" s="7">
        <f>50/1000</f>
        <v>0.05</v>
      </c>
      <c r="X8" s="12">
        <f>V8*36.46/(1.18*1000)</f>
        <v>9.2694915254237287E-2</v>
      </c>
      <c r="Y8" s="7">
        <f>W8*X8/Solvent!K20</f>
        <v>1.2874293785310735E-2</v>
      </c>
      <c r="Z8" s="7" t="s">
        <v>61</v>
      </c>
      <c r="AA8" s="7">
        <v>29</v>
      </c>
      <c r="AB8" s="7">
        <v>20</v>
      </c>
      <c r="AC8" s="7">
        <v>8.5000000000000006E-2</v>
      </c>
      <c r="AD8" s="7" t="s">
        <v>767</v>
      </c>
      <c r="AG8" s="7" t="s">
        <v>62</v>
      </c>
      <c r="AH8" s="7" t="s">
        <v>63</v>
      </c>
      <c r="AL8" s="7">
        <v>10</v>
      </c>
      <c r="AM8" s="7">
        <v>1.0999999999999999E-2</v>
      </c>
      <c r="AX8" s="11"/>
      <c r="AY8" s="7">
        <v>0</v>
      </c>
      <c r="BA8" s="7">
        <v>0</v>
      </c>
    </row>
    <row r="9" spans="1:54" s="7" customFormat="1" ht="18" customHeight="1" x14ac:dyDescent="0.35">
      <c r="A9" s="7" t="s">
        <v>64</v>
      </c>
      <c r="B9" s="7" t="s">
        <v>65</v>
      </c>
      <c r="C9" s="8" t="s">
        <v>66</v>
      </c>
      <c r="D9" s="8" t="s">
        <v>67</v>
      </c>
      <c r="E9" s="7">
        <v>11.31</v>
      </c>
      <c r="F9" s="7">
        <v>48.15</v>
      </c>
      <c r="G9" s="7">
        <v>10.683084858970201</v>
      </c>
      <c r="H9" s="7">
        <v>44.766191134461351</v>
      </c>
      <c r="I9" s="9" t="s">
        <v>4</v>
      </c>
      <c r="J9" s="7">
        <f>(75+85)/2</f>
        <v>80</v>
      </c>
      <c r="K9" s="7">
        <f>20+12</f>
        <v>32</v>
      </c>
      <c r="L9" s="10">
        <v>0.5</v>
      </c>
      <c r="M9" s="7">
        <f>78.7*L9</f>
        <v>39.35</v>
      </c>
      <c r="N9" s="7" t="s">
        <v>16</v>
      </c>
      <c r="O9" s="7">
        <v>3</v>
      </c>
      <c r="P9" s="7">
        <v>1</v>
      </c>
      <c r="Z9" s="7" t="s">
        <v>768</v>
      </c>
      <c r="AA9" s="7">
        <v>29</v>
      </c>
      <c r="AB9" s="7">
        <v>39.1</v>
      </c>
      <c r="AC9" s="7">
        <v>0.16800000000000001</v>
      </c>
      <c r="AD9" s="7" t="s">
        <v>68</v>
      </c>
      <c r="AG9" s="7" t="s">
        <v>69</v>
      </c>
      <c r="AH9" s="7" t="s">
        <v>70</v>
      </c>
      <c r="AL9" s="7">
        <v>39.6</v>
      </c>
      <c r="AM9" s="7">
        <v>0.112</v>
      </c>
      <c r="AX9" s="11"/>
      <c r="AY9" s="7">
        <v>0</v>
      </c>
      <c r="BA9" s="7">
        <v>0</v>
      </c>
    </row>
    <row r="10" spans="1:54" s="7" customFormat="1" x14ac:dyDescent="0.25">
      <c r="A10" s="7" t="s">
        <v>71</v>
      </c>
      <c r="B10" s="7" t="s">
        <v>72</v>
      </c>
      <c r="C10" s="8" t="s">
        <v>73</v>
      </c>
      <c r="D10" s="8" t="s">
        <v>74</v>
      </c>
      <c r="E10" s="7">
        <v>10.71</v>
      </c>
      <c r="F10" s="7">
        <v>49.02</v>
      </c>
      <c r="G10" s="7">
        <v>9.9162714806271435</v>
      </c>
      <c r="H10" s="7">
        <v>45.200663600187482</v>
      </c>
      <c r="I10" s="9" t="s">
        <v>4</v>
      </c>
      <c r="J10" s="7">
        <v>80</v>
      </c>
      <c r="K10" s="7">
        <v>48</v>
      </c>
      <c r="L10" s="10">
        <v>0.75</v>
      </c>
      <c r="M10" s="7">
        <v>535.5</v>
      </c>
      <c r="N10" s="7" t="s">
        <v>16</v>
      </c>
      <c r="O10" s="7">
        <v>3</v>
      </c>
      <c r="P10" s="7">
        <v>75</v>
      </c>
      <c r="Q10" s="7" t="s">
        <v>39</v>
      </c>
      <c r="R10" s="7">
        <v>12</v>
      </c>
      <c r="S10" s="7">
        <v>75</v>
      </c>
      <c r="T10" s="7" t="s">
        <v>75</v>
      </c>
      <c r="U10" s="7">
        <v>19</v>
      </c>
      <c r="V10" s="7">
        <v>3</v>
      </c>
      <c r="W10" s="7">
        <v>1.4</v>
      </c>
      <c r="X10" s="12">
        <f>V10*36.46/(1.18*1000)</f>
        <v>9.2694915254237287E-2</v>
      </c>
      <c r="Y10" s="7">
        <f>W10*X10/Solvent!K20</f>
        <v>0.36048022598870061</v>
      </c>
      <c r="Z10" s="7" t="s">
        <v>6</v>
      </c>
      <c r="AA10" s="7">
        <v>29</v>
      </c>
      <c r="AB10" s="7">
        <v>900</v>
      </c>
      <c r="AC10" s="7">
        <v>3.87</v>
      </c>
      <c r="AD10" s="7" t="s">
        <v>76</v>
      </c>
      <c r="AG10" s="7" t="s">
        <v>77</v>
      </c>
      <c r="AH10" s="7" t="s">
        <v>78</v>
      </c>
      <c r="AL10" s="7">
        <v>300</v>
      </c>
      <c r="AM10" s="7">
        <v>0.42</v>
      </c>
      <c r="AX10" s="11"/>
      <c r="AY10" s="7">
        <v>0</v>
      </c>
      <c r="BA10" s="7">
        <v>0</v>
      </c>
    </row>
    <row r="11" spans="1:54" s="7" customFormat="1" ht="18" customHeight="1" x14ac:dyDescent="0.25">
      <c r="A11" s="7" t="s">
        <v>79</v>
      </c>
      <c r="B11" s="7">
        <v>1</v>
      </c>
      <c r="C11" s="8" t="s">
        <v>80</v>
      </c>
      <c r="D11" s="8" t="s">
        <v>81</v>
      </c>
      <c r="E11" s="7">
        <v>10.7</v>
      </c>
      <c r="F11" s="7">
        <v>53.73</v>
      </c>
      <c r="G11" s="7">
        <v>9.4914340662648993</v>
      </c>
      <c r="H11" s="7">
        <v>47.700088168026532</v>
      </c>
      <c r="I11" s="9" t="s">
        <v>4</v>
      </c>
      <c r="J11" s="7">
        <v>140</v>
      </c>
      <c r="K11" s="7">
        <f>5*24</f>
        <v>120</v>
      </c>
      <c r="L11" s="10">
        <v>0.52</v>
      </c>
      <c r="M11" s="7">
        <v>86</v>
      </c>
      <c r="N11" s="7" t="s">
        <v>5</v>
      </c>
      <c r="O11" s="7">
        <v>10</v>
      </c>
      <c r="P11" s="7">
        <v>10</v>
      </c>
      <c r="T11" s="7" t="s">
        <v>689</v>
      </c>
      <c r="U11" s="7">
        <v>20</v>
      </c>
      <c r="W11" s="7">
        <v>91</v>
      </c>
      <c r="Y11" s="7">
        <f>W11</f>
        <v>91</v>
      </c>
      <c r="Z11" s="7" t="s">
        <v>22</v>
      </c>
      <c r="AA11" s="7">
        <v>30</v>
      </c>
      <c r="AB11" s="7">
        <v>36</v>
      </c>
      <c r="AC11" s="7">
        <v>0.15</v>
      </c>
      <c r="AD11" s="7" t="s">
        <v>82</v>
      </c>
      <c r="AE11" s="7" t="s">
        <v>83</v>
      </c>
      <c r="AF11" s="7" t="s">
        <v>84</v>
      </c>
      <c r="AG11" s="7" t="s">
        <v>85</v>
      </c>
      <c r="AH11" s="7" t="s">
        <v>86</v>
      </c>
      <c r="AI11" s="7" t="s">
        <v>87</v>
      </c>
      <c r="AJ11" s="7">
        <v>17000</v>
      </c>
      <c r="AK11" s="7">
        <v>0.85</v>
      </c>
      <c r="AL11" s="7">
        <v>158</v>
      </c>
      <c r="AM11" s="7">
        <v>0.5</v>
      </c>
      <c r="AX11" s="11">
        <v>1.4747059999999999E-2</v>
      </c>
      <c r="AY11" s="7">
        <v>2.3300354800000001E-3</v>
      </c>
      <c r="BA11" s="7">
        <v>0</v>
      </c>
    </row>
    <row r="12" spans="1:54" s="7" customFormat="1" x14ac:dyDescent="0.25">
      <c r="A12" s="7" t="s">
        <v>88</v>
      </c>
      <c r="C12" s="8" t="s">
        <v>89</v>
      </c>
      <c r="D12" s="8" t="s">
        <v>90</v>
      </c>
      <c r="E12" s="7">
        <v>10.6</v>
      </c>
      <c r="F12" s="7">
        <v>50.49</v>
      </c>
      <c r="G12" s="7">
        <v>9.6966161030916247</v>
      </c>
      <c r="H12" s="7">
        <v>46.240974669975081</v>
      </c>
      <c r="I12" s="9" t="s">
        <v>4</v>
      </c>
      <c r="J12" s="7">
        <v>80</v>
      </c>
      <c r="K12" s="7">
        <v>24</v>
      </c>
      <c r="L12" s="10">
        <v>0.52</v>
      </c>
      <c r="M12" s="7">
        <v>160.13999999999999</v>
      </c>
      <c r="N12" s="7" t="s">
        <v>16</v>
      </c>
      <c r="O12" s="7">
        <v>3</v>
      </c>
      <c r="P12" s="7">
        <v>10</v>
      </c>
      <c r="T12" s="7" t="s">
        <v>690</v>
      </c>
      <c r="U12" s="7">
        <v>18</v>
      </c>
      <c r="V12" s="10">
        <v>0.48</v>
      </c>
      <c r="W12" s="7">
        <v>3</v>
      </c>
      <c r="X12" s="10">
        <f>V12</f>
        <v>0.48</v>
      </c>
      <c r="Y12" s="7">
        <f>W12*X12/Solvent!K19</f>
        <v>1.4545454545454546</v>
      </c>
      <c r="Z12" s="7" t="s">
        <v>6</v>
      </c>
      <c r="AA12" s="7">
        <v>29</v>
      </c>
      <c r="AB12" s="7">
        <v>250</v>
      </c>
      <c r="AC12" s="7">
        <v>1.1000000000000001</v>
      </c>
      <c r="AD12" s="7" t="s">
        <v>91</v>
      </c>
      <c r="AG12" s="7" t="s">
        <v>92</v>
      </c>
      <c r="AH12" s="7" t="s">
        <v>93</v>
      </c>
      <c r="AL12" s="7">
        <v>260</v>
      </c>
      <c r="AM12" s="7">
        <v>0.26</v>
      </c>
      <c r="AX12" s="11"/>
      <c r="AY12" s="7">
        <v>0</v>
      </c>
      <c r="BA12" s="7">
        <v>0</v>
      </c>
    </row>
    <row r="13" spans="1:54" s="7" customFormat="1" ht="18" customHeight="1" x14ac:dyDescent="0.25">
      <c r="A13" s="7" t="s">
        <v>94</v>
      </c>
      <c r="C13" s="8" t="s">
        <v>95</v>
      </c>
      <c r="D13" s="8" t="s">
        <v>96</v>
      </c>
      <c r="E13" s="7">
        <v>10.35</v>
      </c>
      <c r="F13" s="7">
        <v>57.54</v>
      </c>
      <c r="G13" s="7">
        <v>8.6913484273204222</v>
      </c>
      <c r="H13" s="7">
        <v>49.550824242224152</v>
      </c>
      <c r="I13" s="9" t="s">
        <v>4</v>
      </c>
      <c r="J13" s="7">
        <v>120</v>
      </c>
      <c r="K13" s="7">
        <f>4*24</f>
        <v>96</v>
      </c>
      <c r="L13" s="10">
        <v>0.3</v>
      </c>
      <c r="M13" s="7">
        <v>100.3</v>
      </c>
      <c r="N13" s="7" t="s">
        <v>5</v>
      </c>
      <c r="O13" s="7">
        <v>10</v>
      </c>
      <c r="P13" s="7">
        <v>10</v>
      </c>
      <c r="T13" s="7" t="s">
        <v>688</v>
      </c>
      <c r="U13" s="7">
        <v>19</v>
      </c>
      <c r="V13" s="7">
        <v>1</v>
      </c>
      <c r="W13" s="7">
        <v>0.5</v>
      </c>
      <c r="X13" s="12">
        <f>V13*36.46/(1.18*1000)</f>
        <v>3.0898305084745763E-2</v>
      </c>
      <c r="Y13" s="7">
        <f>W13*X13/Solvent!K20</f>
        <v>4.2914312617702448E-2</v>
      </c>
      <c r="Z13" s="7" t="s">
        <v>97</v>
      </c>
      <c r="AA13" s="7">
        <v>33</v>
      </c>
      <c r="AB13" s="7">
        <f>0.12*1000</f>
        <v>120</v>
      </c>
      <c r="AC13" s="7">
        <v>0.48</v>
      </c>
      <c r="AD13" s="7" t="s">
        <v>98</v>
      </c>
      <c r="AE13" s="7" t="s">
        <v>99</v>
      </c>
      <c r="AF13" s="7" t="s">
        <v>100</v>
      </c>
      <c r="AG13" s="7" t="s">
        <v>101</v>
      </c>
      <c r="AH13" s="7" t="s">
        <v>102</v>
      </c>
      <c r="AI13" s="7" t="s">
        <v>103</v>
      </c>
      <c r="AJ13" s="7">
        <v>5</v>
      </c>
      <c r="AK13" s="7">
        <v>0.99</v>
      </c>
      <c r="AL13" s="7">
        <f>0.04*1000</f>
        <v>40</v>
      </c>
      <c r="AM13" s="7">
        <v>0.15</v>
      </c>
      <c r="AN13" s="7" t="s">
        <v>104</v>
      </c>
      <c r="AO13" s="7" t="s">
        <v>83</v>
      </c>
      <c r="AP13" s="7" t="s">
        <v>84</v>
      </c>
      <c r="AQ13" s="7" t="s">
        <v>85</v>
      </c>
      <c r="AR13" s="7" t="s">
        <v>86</v>
      </c>
      <c r="AS13" s="7" t="s">
        <v>105</v>
      </c>
      <c r="AT13" s="7">
        <v>3000</v>
      </c>
      <c r="AU13" s="7">
        <v>0.85</v>
      </c>
      <c r="AV13" s="7">
        <f>0.3*1000</f>
        <v>300</v>
      </c>
      <c r="AW13" s="7">
        <v>0.06</v>
      </c>
      <c r="AX13" s="11">
        <v>191.25</v>
      </c>
      <c r="AY13" s="7">
        <v>7.65</v>
      </c>
      <c r="AZ13" s="7">
        <v>4.3066666666666663E-2</v>
      </c>
      <c r="BA13" s="7">
        <v>1.2919999999999999E-2</v>
      </c>
    </row>
    <row r="14" spans="1:54" s="7" customFormat="1" x14ac:dyDescent="0.25">
      <c r="A14" s="7" t="s">
        <v>106</v>
      </c>
      <c r="C14" s="8" t="s">
        <v>107</v>
      </c>
      <c r="D14" s="8" t="s">
        <v>108</v>
      </c>
      <c r="E14" s="7">
        <v>10.130000000000001</v>
      </c>
      <c r="F14" s="7">
        <v>44.16</v>
      </c>
      <c r="G14" s="7">
        <v>9.7926639981645032</v>
      </c>
      <c r="H14" s="7">
        <v>42.418752882251091</v>
      </c>
      <c r="I14" s="9" t="s">
        <v>4</v>
      </c>
      <c r="J14" s="7">
        <v>120</v>
      </c>
      <c r="K14" s="7">
        <v>20</v>
      </c>
      <c r="L14" s="10">
        <v>0.54</v>
      </c>
      <c r="M14" s="7">
        <v>412</v>
      </c>
      <c r="N14" s="7" t="s">
        <v>60</v>
      </c>
      <c r="O14" s="7">
        <v>4</v>
      </c>
      <c r="P14" s="7">
        <v>10.5</v>
      </c>
      <c r="Z14" s="7" t="s">
        <v>109</v>
      </c>
      <c r="AA14" s="7">
        <v>48</v>
      </c>
      <c r="AB14" s="7">
        <v>366</v>
      </c>
      <c r="AC14" s="7">
        <v>1.26</v>
      </c>
      <c r="AD14" s="7" t="s">
        <v>110</v>
      </c>
      <c r="AE14" s="7" t="s">
        <v>31</v>
      </c>
      <c r="AF14" s="7" t="s">
        <v>32</v>
      </c>
      <c r="AG14" s="7" t="s">
        <v>111</v>
      </c>
      <c r="AH14" s="7" t="s">
        <v>112</v>
      </c>
      <c r="AI14" s="7" t="s">
        <v>35</v>
      </c>
      <c r="AJ14" s="7">
        <v>100</v>
      </c>
      <c r="AK14" s="7">
        <v>0.95</v>
      </c>
      <c r="AL14" s="7">
        <v>180</v>
      </c>
      <c r="AM14" s="7">
        <v>0.41</v>
      </c>
      <c r="AX14" s="11">
        <v>6.8765000000000001</v>
      </c>
      <c r="AY14" s="7">
        <v>1.23777</v>
      </c>
      <c r="BA14" s="7">
        <v>0</v>
      </c>
    </row>
    <row r="15" spans="1:54" s="7" customFormat="1" ht="18" x14ac:dyDescent="0.35">
      <c r="A15" s="7" t="s">
        <v>113</v>
      </c>
      <c r="B15" s="7" t="s">
        <v>114</v>
      </c>
      <c r="C15" s="8" t="s">
        <v>66</v>
      </c>
      <c r="D15" s="8" t="s">
        <v>115</v>
      </c>
      <c r="E15" s="7">
        <v>10.07</v>
      </c>
      <c r="F15" s="7">
        <v>48.8</v>
      </c>
      <c r="G15" s="7">
        <v>9.4758230516807274</v>
      </c>
      <c r="H15" s="7">
        <v>45.836878290413942</v>
      </c>
      <c r="I15" s="9" t="s">
        <v>4</v>
      </c>
      <c r="J15" s="7">
        <v>75</v>
      </c>
      <c r="K15" s="7">
        <v>40</v>
      </c>
      <c r="L15" s="10">
        <v>0.5</v>
      </c>
      <c r="M15" s="7">
        <f>40*L15</f>
        <v>20</v>
      </c>
      <c r="N15" s="7" t="s">
        <v>16</v>
      </c>
      <c r="O15" s="7">
        <v>3</v>
      </c>
      <c r="P15" s="7">
        <v>1</v>
      </c>
      <c r="Z15" s="7" t="s">
        <v>6</v>
      </c>
      <c r="AA15" s="7">
        <v>29</v>
      </c>
      <c r="AB15" s="7">
        <v>39.1</v>
      </c>
      <c r="AC15" s="7">
        <v>0.16800000000000001</v>
      </c>
      <c r="AD15" s="7" t="s">
        <v>769</v>
      </c>
      <c r="AE15" s="7" t="s">
        <v>116</v>
      </c>
      <c r="AF15" s="7" t="s">
        <v>117</v>
      </c>
      <c r="AG15" s="7" t="s">
        <v>118</v>
      </c>
      <c r="AH15" s="7" t="s">
        <v>119</v>
      </c>
      <c r="AI15" s="7" t="s">
        <v>120</v>
      </c>
      <c r="AJ15" s="7">
        <v>1</v>
      </c>
      <c r="AK15" s="7">
        <v>0.99</v>
      </c>
      <c r="AL15" s="7">
        <v>36.200000000000003</v>
      </c>
      <c r="AM15" s="7">
        <v>0.112</v>
      </c>
      <c r="AX15" s="11">
        <v>1606.5</v>
      </c>
      <c r="AY15" s="7">
        <v>58.155299999999997</v>
      </c>
      <c r="BA15" s="7">
        <v>0</v>
      </c>
    </row>
    <row r="16" spans="1:54" s="7" customFormat="1" x14ac:dyDescent="0.25">
      <c r="A16" s="7" t="s">
        <v>121</v>
      </c>
      <c r="B16" s="7" t="s">
        <v>122</v>
      </c>
      <c r="C16" s="8" t="s">
        <v>123</v>
      </c>
      <c r="D16" s="8" t="s">
        <v>124</v>
      </c>
      <c r="E16" s="7">
        <v>9.4</v>
      </c>
      <c r="F16" s="7">
        <v>59.69</v>
      </c>
      <c r="G16" s="7">
        <v>7.8333953797971736</v>
      </c>
      <c r="H16" s="7">
        <v>50.274727426402507</v>
      </c>
      <c r="I16" s="9" t="s">
        <v>4</v>
      </c>
      <c r="J16" s="7">
        <v>80</v>
      </c>
      <c r="K16" s="7">
        <v>24</v>
      </c>
      <c r="L16" s="10">
        <v>0.47</v>
      </c>
      <c r="M16" s="7">
        <v>40</v>
      </c>
      <c r="N16" s="7" t="s">
        <v>16</v>
      </c>
      <c r="P16" s="7">
        <v>6</v>
      </c>
      <c r="Q16" s="7" t="s">
        <v>51</v>
      </c>
      <c r="R16" s="7">
        <v>11</v>
      </c>
      <c r="S16" s="7">
        <v>1</v>
      </c>
      <c r="T16" s="20" t="s">
        <v>688</v>
      </c>
      <c r="U16" s="7">
        <v>19</v>
      </c>
      <c r="V16" s="10">
        <v>0.35</v>
      </c>
      <c r="W16" s="7">
        <f>0.5</f>
        <v>0.5</v>
      </c>
      <c r="X16" s="10">
        <f>V16</f>
        <v>0.35</v>
      </c>
      <c r="Y16" s="7">
        <f>W16*X16/Solvent!K20</f>
        <v>0.4861111111111111</v>
      </c>
      <c r="Z16" s="7" t="s">
        <v>6</v>
      </c>
      <c r="AA16" s="7">
        <v>29</v>
      </c>
      <c r="AB16" s="7">
        <f>0.025*1000</f>
        <v>25</v>
      </c>
      <c r="AC16" s="7">
        <v>0.11</v>
      </c>
      <c r="AD16" s="7" t="s">
        <v>125</v>
      </c>
      <c r="AE16" s="7" t="s">
        <v>126</v>
      </c>
      <c r="AF16" s="7" t="s">
        <v>127</v>
      </c>
      <c r="AG16" s="7" t="s">
        <v>128</v>
      </c>
      <c r="AH16" s="7" t="s">
        <v>129</v>
      </c>
      <c r="AI16" s="7" t="s">
        <v>35</v>
      </c>
      <c r="AJ16" s="7">
        <v>5</v>
      </c>
      <c r="AK16" s="7">
        <v>0.97</v>
      </c>
      <c r="AL16" s="7">
        <f>0.033*1000</f>
        <v>33</v>
      </c>
      <c r="AM16" s="7">
        <v>5.3999999999999999E-2</v>
      </c>
      <c r="AX16" s="11">
        <v>140.25</v>
      </c>
      <c r="AY16" s="7">
        <v>4.6282500000000004</v>
      </c>
      <c r="BA16" s="7">
        <v>0</v>
      </c>
    </row>
    <row r="17" spans="1:53" s="7" customFormat="1" x14ac:dyDescent="0.25">
      <c r="A17" s="7" t="s">
        <v>130</v>
      </c>
      <c r="B17" s="7" t="s">
        <v>131</v>
      </c>
      <c r="C17" s="8" t="s">
        <v>132</v>
      </c>
      <c r="D17" s="8" t="s">
        <v>133</v>
      </c>
      <c r="E17" s="7">
        <v>9.3000000000000007</v>
      </c>
      <c r="F17" s="7">
        <v>49.32</v>
      </c>
      <c r="G17" s="7">
        <v>8.6144275699250912</v>
      </c>
      <c r="H17" s="7">
        <v>45.710670080803609</v>
      </c>
      <c r="I17" s="9" t="s">
        <v>4</v>
      </c>
      <c r="J17" s="7">
        <v>85</v>
      </c>
      <c r="K17" s="7">
        <v>48</v>
      </c>
      <c r="L17" s="10">
        <v>0.1</v>
      </c>
      <c r="M17" s="7">
        <v>11.79</v>
      </c>
      <c r="N17" s="7" t="s">
        <v>16</v>
      </c>
      <c r="O17" s="7">
        <v>3</v>
      </c>
      <c r="P17" s="7">
        <v>2.25</v>
      </c>
      <c r="Z17" s="7" t="s">
        <v>22</v>
      </c>
      <c r="AA17" s="7">
        <v>30</v>
      </c>
      <c r="AB17" s="7">
        <f>0.065*1000</f>
        <v>65</v>
      </c>
      <c r="AC17" s="7">
        <v>0.27</v>
      </c>
      <c r="AD17" s="7" t="s">
        <v>134</v>
      </c>
      <c r="AE17" s="7" t="s">
        <v>135</v>
      </c>
      <c r="AF17" s="7" t="s">
        <v>136</v>
      </c>
      <c r="AG17" s="7" t="s">
        <v>137</v>
      </c>
      <c r="AH17" s="7" t="s">
        <v>138</v>
      </c>
      <c r="AI17" s="7" t="s">
        <v>35</v>
      </c>
      <c r="AJ17" s="7">
        <v>5</v>
      </c>
      <c r="AK17" s="7">
        <v>0.98</v>
      </c>
      <c r="AL17" s="7">
        <f>0.094*1000</f>
        <v>94</v>
      </c>
      <c r="AN17" s="7" t="s">
        <v>45</v>
      </c>
      <c r="AP17" s="7" t="s">
        <v>46</v>
      </c>
      <c r="AV17" s="7">
        <f>0.015*1000</f>
        <v>15</v>
      </c>
      <c r="AX17" s="11">
        <v>134.81</v>
      </c>
      <c r="AY17" s="7">
        <v>12.672140000000001</v>
      </c>
      <c r="AZ17" s="7">
        <v>0.29070000000000001</v>
      </c>
      <c r="BA17" s="7">
        <v>4.3604999999999998E-3</v>
      </c>
    </row>
    <row r="18" spans="1:53" s="7" customFormat="1" x14ac:dyDescent="0.25">
      <c r="A18" s="7" t="s">
        <v>139</v>
      </c>
      <c r="B18" s="7" t="s">
        <v>140</v>
      </c>
      <c r="C18" s="8" t="s">
        <v>141</v>
      </c>
      <c r="D18" s="8" t="s">
        <v>142</v>
      </c>
      <c r="E18" s="7">
        <v>9.27</v>
      </c>
      <c r="F18" s="7">
        <v>53.4</v>
      </c>
      <c r="G18" s="7">
        <v>8.320969190298765</v>
      </c>
      <c r="H18" s="7">
        <v>47.546345762922307</v>
      </c>
      <c r="I18" s="9" t="s">
        <v>4</v>
      </c>
      <c r="J18" s="7">
        <v>65</v>
      </c>
      <c r="K18" s="7">
        <v>72</v>
      </c>
      <c r="L18" s="10">
        <v>0.73</v>
      </c>
      <c r="M18" s="7">
        <v>11.2</v>
      </c>
      <c r="N18" s="7" t="s">
        <v>16</v>
      </c>
      <c r="O18" s="7">
        <v>3</v>
      </c>
      <c r="P18" s="7">
        <v>2</v>
      </c>
      <c r="Q18" s="7" t="s">
        <v>5</v>
      </c>
      <c r="R18" s="7">
        <v>10</v>
      </c>
      <c r="S18" s="7">
        <v>0.1</v>
      </c>
      <c r="T18" s="7" t="s">
        <v>687</v>
      </c>
      <c r="U18" s="7">
        <v>18</v>
      </c>
      <c r="V18" s="10">
        <v>0.48</v>
      </c>
      <c r="W18" s="7">
        <f>50/1000</f>
        <v>0.05</v>
      </c>
      <c r="X18" s="10">
        <f>V18</f>
        <v>0.48</v>
      </c>
      <c r="Y18" s="7">
        <f>W18*X18/Solvent!K19</f>
        <v>2.4242424242424242E-2</v>
      </c>
      <c r="Z18" s="7" t="s">
        <v>143</v>
      </c>
      <c r="AA18" s="7">
        <v>34</v>
      </c>
      <c r="AB18" s="7">
        <v>17</v>
      </c>
      <c r="AC18" s="7">
        <v>0.1</v>
      </c>
      <c r="AD18" s="7" t="s">
        <v>144</v>
      </c>
      <c r="AE18" s="7" t="s">
        <v>145</v>
      </c>
      <c r="AF18" s="7" t="s">
        <v>146</v>
      </c>
      <c r="AG18" s="7" t="s">
        <v>147</v>
      </c>
      <c r="AH18" s="7" t="s">
        <v>148</v>
      </c>
      <c r="AI18" s="7" t="s">
        <v>35</v>
      </c>
      <c r="AJ18" s="7">
        <v>1</v>
      </c>
      <c r="AK18" s="7">
        <v>0.97</v>
      </c>
      <c r="AL18" s="7">
        <v>11.33</v>
      </c>
      <c r="AM18" s="7">
        <f>0.025</f>
        <v>2.5000000000000001E-2</v>
      </c>
      <c r="AX18" s="11">
        <v>130.9</v>
      </c>
      <c r="AY18" s="7">
        <v>1.4830970000000001</v>
      </c>
      <c r="BA18" s="7">
        <v>0</v>
      </c>
    </row>
    <row r="19" spans="1:53" s="7" customFormat="1" x14ac:dyDescent="0.25">
      <c r="A19" s="7" t="s">
        <v>149</v>
      </c>
      <c r="C19" s="8" t="s">
        <v>150</v>
      </c>
      <c r="D19" s="8" t="s">
        <v>151</v>
      </c>
      <c r="E19" s="7">
        <v>9.23</v>
      </c>
      <c r="F19" s="7">
        <v>47.96</v>
      </c>
      <c r="G19" s="7">
        <v>8.5335743049436132</v>
      </c>
      <c r="H19" s="7">
        <v>44.262172233950857</v>
      </c>
      <c r="I19" s="9" t="s">
        <v>4</v>
      </c>
      <c r="J19" s="7">
        <v>100</v>
      </c>
      <c r="K19" s="7">
        <f>7*24</f>
        <v>168</v>
      </c>
      <c r="L19" s="10">
        <v>0.23</v>
      </c>
      <c r="M19" s="7">
        <v>6.1</v>
      </c>
      <c r="N19" s="7" t="s">
        <v>16</v>
      </c>
      <c r="O19" s="7">
        <v>3</v>
      </c>
      <c r="P19" s="7">
        <v>1.5</v>
      </c>
      <c r="Z19" s="7" t="s">
        <v>152</v>
      </c>
      <c r="AA19" s="7">
        <v>50</v>
      </c>
      <c r="AB19" s="7">
        <v>25</v>
      </c>
      <c r="AC19" s="7">
        <f>99.6/1000</f>
        <v>9.9599999999999994E-2</v>
      </c>
      <c r="AD19" s="7" t="s">
        <v>153</v>
      </c>
      <c r="AE19" s="7" t="s">
        <v>154</v>
      </c>
      <c r="AF19" s="7" t="s">
        <v>155</v>
      </c>
      <c r="AG19" s="7" t="s">
        <v>156</v>
      </c>
      <c r="AH19" s="7" t="s">
        <v>157</v>
      </c>
      <c r="AI19" s="7" t="s">
        <v>158</v>
      </c>
      <c r="AJ19" s="7">
        <v>5</v>
      </c>
      <c r="AK19" s="7">
        <v>0.95</v>
      </c>
      <c r="AL19" s="7">
        <v>10</v>
      </c>
      <c r="AM19" s="7">
        <f>17.1/1000</f>
        <v>1.7100000000000001E-2</v>
      </c>
      <c r="AX19" s="11">
        <v>141.60999999999999</v>
      </c>
      <c r="AY19" s="7">
        <v>1.4160999999999999</v>
      </c>
      <c r="BA19" s="7">
        <v>0</v>
      </c>
    </row>
    <row r="20" spans="1:53" s="7" customFormat="1" x14ac:dyDescent="0.25">
      <c r="A20" s="7" t="s">
        <v>159</v>
      </c>
      <c r="C20" s="8" t="s">
        <v>160</v>
      </c>
      <c r="D20" s="8" t="s">
        <v>161</v>
      </c>
      <c r="E20" s="7">
        <v>9.09</v>
      </c>
      <c r="F20" s="7">
        <v>47.51</v>
      </c>
      <c r="G20" s="7">
        <v>8.7003323941826665</v>
      </c>
      <c r="H20" s="7">
        <v>46.462114573755102</v>
      </c>
      <c r="I20" s="9" t="s">
        <v>4</v>
      </c>
      <c r="J20" s="7">
        <v>85</v>
      </c>
      <c r="K20" s="7">
        <v>16</v>
      </c>
      <c r="L20" s="10">
        <v>0.5</v>
      </c>
      <c r="M20" s="7">
        <v>23.2</v>
      </c>
      <c r="N20" s="7" t="s">
        <v>60</v>
      </c>
      <c r="O20" s="7">
        <v>4</v>
      </c>
      <c r="P20" s="7">
        <v>3</v>
      </c>
      <c r="Z20" s="7" t="s">
        <v>162</v>
      </c>
      <c r="AA20" s="7">
        <v>45</v>
      </c>
      <c r="AB20" s="7">
        <f>0.15*1000</f>
        <v>150</v>
      </c>
      <c r="AC20" s="7">
        <f>0.6</f>
        <v>0.6</v>
      </c>
      <c r="AD20" s="7" t="s">
        <v>163</v>
      </c>
      <c r="AE20" s="7" t="s">
        <v>164</v>
      </c>
      <c r="AF20" s="7" t="s">
        <v>165</v>
      </c>
      <c r="AG20" s="7" t="s">
        <v>166</v>
      </c>
      <c r="AH20" s="7" t="s">
        <v>167</v>
      </c>
      <c r="AI20" s="7" t="s">
        <v>35</v>
      </c>
      <c r="AJ20" s="7">
        <v>1</v>
      </c>
      <c r="AK20" s="7">
        <v>0.95</v>
      </c>
      <c r="AL20" s="7">
        <f>0.026*1000</f>
        <v>26</v>
      </c>
      <c r="AM20" s="7">
        <f>0.1</f>
        <v>0.1</v>
      </c>
      <c r="AX20" s="11">
        <v>76.67</v>
      </c>
      <c r="AY20" s="7">
        <v>1.99342</v>
      </c>
      <c r="BA20" s="7">
        <v>0</v>
      </c>
    </row>
    <row r="21" spans="1:53" s="7" customFormat="1" x14ac:dyDescent="0.25">
      <c r="A21" s="7" t="s">
        <v>168</v>
      </c>
      <c r="B21" s="7" t="s">
        <v>169</v>
      </c>
      <c r="C21" s="8" t="s">
        <v>150</v>
      </c>
      <c r="D21" s="8" t="s">
        <v>170</v>
      </c>
      <c r="E21" s="7">
        <v>8.82</v>
      </c>
      <c r="F21" s="7">
        <v>48.75</v>
      </c>
      <c r="G21" s="7">
        <v>8.1723518462666345</v>
      </c>
      <c r="H21" s="7">
        <v>44.615404033446488</v>
      </c>
      <c r="I21" s="9" t="s">
        <v>4</v>
      </c>
      <c r="J21" s="7">
        <v>90</v>
      </c>
      <c r="K21" s="7">
        <v>24</v>
      </c>
      <c r="L21" s="10">
        <v>0.71</v>
      </c>
      <c r="M21" s="7">
        <v>16.489999999999998</v>
      </c>
      <c r="N21" s="7" t="s">
        <v>60</v>
      </c>
      <c r="O21" s="7">
        <v>4</v>
      </c>
      <c r="P21" s="7">
        <v>1</v>
      </c>
      <c r="Q21" s="7" t="s">
        <v>5</v>
      </c>
      <c r="R21" s="7">
        <v>10</v>
      </c>
      <c r="S21" s="7">
        <v>0.1</v>
      </c>
      <c r="T21" s="7" t="s">
        <v>688</v>
      </c>
      <c r="U21" s="7">
        <v>19</v>
      </c>
      <c r="V21" s="7">
        <v>6</v>
      </c>
      <c r="W21" s="7">
        <f>10/1000</f>
        <v>0.01</v>
      </c>
      <c r="X21" s="12">
        <f>V21*36.46/(1.18*1000)</f>
        <v>0.18538983050847457</v>
      </c>
      <c r="Y21" s="7">
        <f>W21*X21/Solvent!K20</f>
        <v>5.1497175141242942E-3</v>
      </c>
      <c r="Z21" s="7" t="s">
        <v>6</v>
      </c>
      <c r="AA21" s="7">
        <v>29</v>
      </c>
      <c r="AB21" s="7">
        <f>14.5</f>
        <v>14.5</v>
      </c>
      <c r="AC21" s="7">
        <f>62.3/1000</f>
        <v>6.2299999999999994E-2</v>
      </c>
      <c r="AD21" s="7" t="s">
        <v>153</v>
      </c>
      <c r="AE21" s="7" t="s">
        <v>154</v>
      </c>
      <c r="AF21" s="7" t="s">
        <v>155</v>
      </c>
      <c r="AG21" s="7" t="s">
        <v>156</v>
      </c>
      <c r="AH21" s="7" t="s">
        <v>157</v>
      </c>
      <c r="AI21" s="7" t="s">
        <v>158</v>
      </c>
      <c r="AJ21" s="7">
        <v>5</v>
      </c>
      <c r="AK21" s="7">
        <v>0.95</v>
      </c>
      <c r="AL21" s="7">
        <f>8.3</f>
        <v>8.3000000000000007</v>
      </c>
      <c r="AM21" s="7">
        <f>14.2/1000</f>
        <v>1.4199999999999999E-2</v>
      </c>
      <c r="AX21" s="11">
        <v>150.10999999999999</v>
      </c>
      <c r="AY21" s="7">
        <v>1.2459129999999998</v>
      </c>
      <c r="BA21" s="7">
        <v>0</v>
      </c>
    </row>
    <row r="22" spans="1:53" s="7" customFormat="1" x14ac:dyDescent="0.25">
      <c r="A22" s="7" t="s">
        <v>171</v>
      </c>
      <c r="C22" s="8" t="s">
        <v>172</v>
      </c>
      <c r="D22" s="8" t="s">
        <v>173</v>
      </c>
      <c r="E22" s="7">
        <v>8.69</v>
      </c>
      <c r="F22" s="7">
        <v>59.44</v>
      </c>
      <c r="G22" s="7">
        <v>6.8024417021883838</v>
      </c>
      <c r="H22" s="7">
        <v>47.741017560316557</v>
      </c>
      <c r="I22" s="9" t="s">
        <v>174</v>
      </c>
      <c r="J22" s="7">
        <v>29</v>
      </c>
      <c r="K22" s="7">
        <f>14*24</f>
        <v>336</v>
      </c>
      <c r="L22" s="10">
        <v>0.49</v>
      </c>
      <c r="M22" s="7">
        <v>25.97</v>
      </c>
      <c r="N22" s="7" t="s">
        <v>684</v>
      </c>
      <c r="O22" s="7">
        <v>27</v>
      </c>
      <c r="P22" s="7">
        <v>6</v>
      </c>
      <c r="Q22" s="7" t="s">
        <v>51</v>
      </c>
      <c r="R22" s="7">
        <v>11</v>
      </c>
      <c r="S22" s="7">
        <v>6</v>
      </c>
      <c r="T22" s="7" t="s">
        <v>175</v>
      </c>
      <c r="U22" s="7">
        <v>9</v>
      </c>
      <c r="W22" s="7">
        <v>0.5</v>
      </c>
      <c r="Y22" s="7">
        <f>W22</f>
        <v>0.5</v>
      </c>
      <c r="Z22" s="7" t="s">
        <v>176</v>
      </c>
      <c r="AA22" s="7">
        <v>42</v>
      </c>
      <c r="AB22" s="7">
        <f>0.018*1000</f>
        <v>18</v>
      </c>
      <c r="AC22" s="7">
        <f>0.05</f>
        <v>0.05</v>
      </c>
      <c r="AD22" s="7" t="s">
        <v>177</v>
      </c>
      <c r="AG22" s="7" t="s">
        <v>178</v>
      </c>
      <c r="AH22" s="7" t="s">
        <v>179</v>
      </c>
      <c r="AL22" s="7">
        <f>0.011*1000</f>
        <v>11</v>
      </c>
      <c r="AM22" s="7">
        <f>0.05</f>
        <v>0.05</v>
      </c>
      <c r="AX22" s="11"/>
      <c r="AY22" s="7">
        <v>0</v>
      </c>
      <c r="BA22" s="7">
        <v>0</v>
      </c>
    </row>
    <row r="23" spans="1:53" s="7" customFormat="1" x14ac:dyDescent="0.25">
      <c r="A23" s="7" t="s">
        <v>180</v>
      </c>
      <c r="C23" s="8" t="s">
        <v>181</v>
      </c>
      <c r="D23" s="8" t="s">
        <v>182</v>
      </c>
      <c r="E23" s="7">
        <v>8.67</v>
      </c>
      <c r="F23" s="7">
        <v>55.97</v>
      </c>
      <c r="G23" s="7">
        <v>7.4703408870002512</v>
      </c>
      <c r="H23" s="7">
        <v>48.114515405118638</v>
      </c>
      <c r="I23" s="9" t="s">
        <v>174</v>
      </c>
      <c r="J23" s="7">
        <v>95</v>
      </c>
      <c r="K23" s="7">
        <v>24</v>
      </c>
      <c r="L23" s="10">
        <v>0.83</v>
      </c>
      <c r="M23" s="7">
        <v>33</v>
      </c>
      <c r="N23" s="7" t="s">
        <v>16</v>
      </c>
      <c r="O23" s="7">
        <v>3</v>
      </c>
      <c r="P23" s="7">
        <v>10</v>
      </c>
      <c r="Z23" s="7" t="s">
        <v>183</v>
      </c>
      <c r="AA23" s="7">
        <v>45</v>
      </c>
      <c r="AB23" s="7">
        <v>61.6</v>
      </c>
      <c r="AC23" s="7">
        <f>0.206</f>
        <v>0.20599999999999999</v>
      </c>
      <c r="AD23" s="7" t="s">
        <v>184</v>
      </c>
      <c r="AE23" s="7" t="s">
        <v>185</v>
      </c>
      <c r="AF23" s="7" t="s">
        <v>186</v>
      </c>
      <c r="AG23" s="7" t="s">
        <v>187</v>
      </c>
      <c r="AH23" s="7" t="s">
        <v>188</v>
      </c>
      <c r="AI23" s="7" t="s">
        <v>35</v>
      </c>
      <c r="AJ23" s="7">
        <v>1</v>
      </c>
      <c r="AK23" s="7">
        <v>0.99</v>
      </c>
      <c r="AL23" s="7">
        <v>28.4</v>
      </c>
      <c r="AM23" s="7">
        <v>4.5699999999999998E-2</v>
      </c>
      <c r="AX23" s="11">
        <v>219.29999999999998</v>
      </c>
      <c r="AY23" s="7">
        <v>6.2281199999999988</v>
      </c>
      <c r="BA23" s="7">
        <v>0</v>
      </c>
    </row>
    <row r="24" spans="1:53" s="7" customFormat="1" x14ac:dyDescent="0.25">
      <c r="A24" s="7" t="s">
        <v>189</v>
      </c>
      <c r="B24" s="7" t="s">
        <v>190</v>
      </c>
      <c r="C24" s="8" t="s">
        <v>191</v>
      </c>
      <c r="D24" s="8" t="s">
        <v>192</v>
      </c>
      <c r="E24" s="7">
        <v>8.6</v>
      </c>
      <c r="F24" s="7">
        <v>54.99</v>
      </c>
      <c r="G24" s="7">
        <v>7.587732226296362</v>
      </c>
      <c r="H24" s="7">
        <v>47.895646278306373</v>
      </c>
      <c r="I24" s="9" t="s">
        <v>174</v>
      </c>
      <c r="J24" s="7">
        <v>85</v>
      </c>
      <c r="K24" s="7">
        <v>12</v>
      </c>
      <c r="L24" s="10">
        <v>0.8</v>
      </c>
      <c r="M24" s="7">
        <v>64.569999999999993</v>
      </c>
      <c r="N24" s="7" t="s">
        <v>16</v>
      </c>
      <c r="O24" s="7">
        <v>3</v>
      </c>
      <c r="P24" s="7">
        <f>(4/6)*10</f>
        <v>6.6666666666666661</v>
      </c>
      <c r="Q24" s="7" t="s">
        <v>5</v>
      </c>
      <c r="R24" s="7">
        <v>10</v>
      </c>
      <c r="S24" s="7">
        <f>(1/6)*10</f>
        <v>1.6666666666666665</v>
      </c>
      <c r="T24" s="7" t="s">
        <v>316</v>
      </c>
      <c r="U24" s="7">
        <v>25</v>
      </c>
      <c r="W24" s="7">
        <f>S24</f>
        <v>1.6666666666666665</v>
      </c>
      <c r="Y24" s="7">
        <f>W24</f>
        <v>1.6666666666666665</v>
      </c>
      <c r="Z24" s="7" t="s">
        <v>193</v>
      </c>
      <c r="AA24" s="7">
        <v>29</v>
      </c>
      <c r="AB24" s="7">
        <f>0.096*1000</f>
        <v>96</v>
      </c>
      <c r="AC24" s="7">
        <f>0.41</f>
        <v>0.41</v>
      </c>
      <c r="AD24" s="7" t="s">
        <v>194</v>
      </c>
      <c r="AE24" s="7" t="s">
        <v>195</v>
      </c>
      <c r="AF24" s="7" t="s">
        <v>196</v>
      </c>
      <c r="AG24" s="7" t="s">
        <v>197</v>
      </c>
      <c r="AH24" s="7" t="s">
        <v>198</v>
      </c>
      <c r="AI24" s="7" t="s">
        <v>35</v>
      </c>
      <c r="AJ24" s="7">
        <v>1</v>
      </c>
      <c r="AK24" s="7">
        <v>0.98</v>
      </c>
      <c r="AL24" s="7">
        <f>0.05*1000</f>
        <v>50</v>
      </c>
      <c r="AM24" s="7">
        <f>0.14</f>
        <v>0.14000000000000001</v>
      </c>
      <c r="AX24" s="11">
        <v>158.1</v>
      </c>
      <c r="AY24" s="7">
        <v>7.9050000000000002</v>
      </c>
      <c r="BA24" s="7">
        <v>0</v>
      </c>
    </row>
    <row r="25" spans="1:53" s="7" customFormat="1" x14ac:dyDescent="0.25">
      <c r="A25" s="7" t="s">
        <v>199</v>
      </c>
      <c r="B25" s="7" t="s">
        <v>200</v>
      </c>
      <c r="C25" s="8" t="s">
        <v>191</v>
      </c>
      <c r="D25" s="8" t="s">
        <v>201</v>
      </c>
      <c r="E25" s="7">
        <v>8.59</v>
      </c>
      <c r="F25" s="7">
        <v>53.35</v>
      </c>
      <c r="G25" s="7">
        <v>7.6307645762962117</v>
      </c>
      <c r="H25" s="7">
        <v>47.319261524219279</v>
      </c>
      <c r="I25" s="9" t="s">
        <v>174</v>
      </c>
      <c r="J25" s="7">
        <v>85</v>
      </c>
      <c r="K25" s="7">
        <v>12</v>
      </c>
      <c r="L25" s="10">
        <v>0.82</v>
      </c>
      <c r="M25" s="7">
        <v>51.85</v>
      </c>
      <c r="N25" s="7" t="s">
        <v>16</v>
      </c>
      <c r="O25" s="7">
        <v>3</v>
      </c>
      <c r="P25" s="7">
        <f>(4/6)*10</f>
        <v>6.6666666666666661</v>
      </c>
      <c r="Q25" s="7" t="s">
        <v>5</v>
      </c>
      <c r="R25" s="7">
        <v>10</v>
      </c>
      <c r="S25" s="7">
        <f>(1/6)*10</f>
        <v>1.6666666666666665</v>
      </c>
      <c r="T25" s="7" t="s">
        <v>316</v>
      </c>
      <c r="U25" s="7">
        <v>25</v>
      </c>
      <c r="W25" s="7">
        <f>S25</f>
        <v>1.6666666666666665</v>
      </c>
      <c r="Y25" s="7">
        <f>W25</f>
        <v>1.6666666666666665</v>
      </c>
      <c r="Z25" s="7" t="s">
        <v>193</v>
      </c>
      <c r="AA25" s="7">
        <v>29</v>
      </c>
      <c r="AB25" s="7">
        <f>0.096*1000</f>
        <v>96</v>
      </c>
      <c r="AC25" s="7">
        <f>0.41</f>
        <v>0.41</v>
      </c>
      <c r="AD25" s="7" t="s">
        <v>202</v>
      </c>
      <c r="AE25" s="7" t="s">
        <v>195</v>
      </c>
      <c r="AF25" s="7" t="s">
        <v>196</v>
      </c>
      <c r="AG25" s="7" t="s">
        <v>197</v>
      </c>
      <c r="AH25" s="7" t="s">
        <v>198</v>
      </c>
      <c r="AI25" s="7" t="s">
        <v>35</v>
      </c>
      <c r="AJ25" s="7">
        <v>1</v>
      </c>
      <c r="AK25" s="7">
        <v>0.98</v>
      </c>
      <c r="AL25" s="7">
        <f>0.05*1000</f>
        <v>50</v>
      </c>
      <c r="AM25" s="7">
        <f>0.1</f>
        <v>0.1</v>
      </c>
      <c r="AX25" s="11">
        <v>158.1</v>
      </c>
      <c r="AY25" s="7">
        <v>7.9050000000000002</v>
      </c>
      <c r="BA25" s="7">
        <v>0</v>
      </c>
    </row>
    <row r="26" spans="1:53" s="7" customFormat="1" x14ac:dyDescent="0.25">
      <c r="A26" s="7" t="s">
        <v>203</v>
      </c>
      <c r="B26" s="7" t="s">
        <v>204</v>
      </c>
      <c r="C26" s="8" t="s">
        <v>205</v>
      </c>
      <c r="D26" s="8" t="s">
        <v>206</v>
      </c>
      <c r="E26" s="7">
        <v>8.5500000000000007</v>
      </c>
      <c r="F26" s="7">
        <v>50.16</v>
      </c>
      <c r="G26" s="7">
        <v>7.9363083182839897</v>
      </c>
      <c r="H26" s="7">
        <v>46.548220884908048</v>
      </c>
      <c r="I26" s="9" t="s">
        <v>174</v>
      </c>
      <c r="J26" s="7">
        <v>65</v>
      </c>
      <c r="K26" s="7">
        <v>48</v>
      </c>
      <c r="L26" s="10">
        <v>0.75</v>
      </c>
      <c r="M26" s="7">
        <v>30.47</v>
      </c>
      <c r="N26" s="7" t="s">
        <v>16</v>
      </c>
      <c r="O26" s="7">
        <v>3</v>
      </c>
      <c r="P26" s="7">
        <v>20</v>
      </c>
      <c r="Q26" s="7" t="s">
        <v>5</v>
      </c>
      <c r="R26" s="7">
        <v>10</v>
      </c>
      <c r="S26" s="7">
        <v>12</v>
      </c>
      <c r="T26" s="7" t="s">
        <v>688</v>
      </c>
      <c r="U26" s="7">
        <v>19</v>
      </c>
      <c r="V26" s="7">
        <v>0.1</v>
      </c>
      <c r="W26" s="7">
        <v>2.8</v>
      </c>
      <c r="X26" s="12">
        <f>V26*36.46/(1.18*1000)</f>
        <v>3.0898305084745767E-3</v>
      </c>
      <c r="Y26" s="7">
        <f>W26*X26/Solvent!K20</f>
        <v>2.4032015065913376E-2</v>
      </c>
      <c r="Z26" s="7" t="s">
        <v>207</v>
      </c>
      <c r="AA26" s="7">
        <v>30</v>
      </c>
      <c r="AB26" s="7">
        <v>40</v>
      </c>
      <c r="AC26" s="7">
        <f>0.17</f>
        <v>0.17</v>
      </c>
      <c r="AD26" s="7" t="s">
        <v>208</v>
      </c>
      <c r="AG26" s="7" t="s">
        <v>209</v>
      </c>
      <c r="AH26" s="7" t="s">
        <v>210</v>
      </c>
      <c r="AL26" s="7">
        <v>20</v>
      </c>
      <c r="AM26" s="7">
        <f>0.085</f>
        <v>8.5000000000000006E-2</v>
      </c>
      <c r="AX26" s="11"/>
      <c r="AY26" s="7">
        <v>0</v>
      </c>
      <c r="BA26" s="7">
        <v>0</v>
      </c>
    </row>
    <row r="27" spans="1:53" s="7" customFormat="1" x14ac:dyDescent="0.25">
      <c r="A27" s="7" t="s">
        <v>211</v>
      </c>
      <c r="C27" s="8" t="s">
        <v>212</v>
      </c>
      <c r="D27" s="8" t="s">
        <v>213</v>
      </c>
      <c r="E27" s="7">
        <v>8.5399999999999991</v>
      </c>
      <c r="F27" s="7">
        <v>48.29</v>
      </c>
      <c r="G27" s="7">
        <v>7.9261389452740172</v>
      </c>
      <c r="H27" s="7">
        <v>44.833194601092799</v>
      </c>
      <c r="I27" s="9" t="s">
        <v>4</v>
      </c>
      <c r="J27" s="7">
        <v>70</v>
      </c>
      <c r="K27" s="7">
        <v>48</v>
      </c>
      <c r="L27" s="10">
        <v>0.91</v>
      </c>
      <c r="M27" s="7">
        <f>0.106*1000</f>
        <v>106</v>
      </c>
      <c r="N27" s="7" t="s">
        <v>16</v>
      </c>
      <c r="O27" s="7">
        <v>3</v>
      </c>
      <c r="P27" s="7">
        <v>4</v>
      </c>
      <c r="T27" s="7" t="s">
        <v>685</v>
      </c>
      <c r="U27" s="7">
        <v>16</v>
      </c>
      <c r="V27" s="7">
        <v>1</v>
      </c>
      <c r="W27" s="7">
        <f>0.7</f>
        <v>0.7</v>
      </c>
      <c r="X27" s="12">
        <f>V27*63.02/(1.42*1000)</f>
        <v>4.4380281690140848E-2</v>
      </c>
      <c r="Y27" s="7">
        <f>W27*X27/Solvent!K17</f>
        <v>4.5685584092792046E-2</v>
      </c>
      <c r="Z27" s="7" t="s">
        <v>214</v>
      </c>
      <c r="AA27" s="7">
        <v>32</v>
      </c>
      <c r="AB27" s="7">
        <f>0.034*1000</f>
        <v>34</v>
      </c>
      <c r="AC27" s="7">
        <f>0.16</f>
        <v>0.16</v>
      </c>
      <c r="AD27" s="7" t="s">
        <v>208</v>
      </c>
      <c r="AE27" s="7" t="s">
        <v>185</v>
      </c>
      <c r="AF27" s="7" t="s">
        <v>186</v>
      </c>
      <c r="AG27" s="7" t="s">
        <v>187</v>
      </c>
      <c r="AH27" s="7" t="s">
        <v>188</v>
      </c>
      <c r="AI27" s="7" t="s">
        <v>35</v>
      </c>
      <c r="AJ27" s="7">
        <v>1</v>
      </c>
      <c r="AK27" s="7">
        <v>0.99</v>
      </c>
      <c r="AL27" s="7">
        <f>0.049*1000</f>
        <v>49</v>
      </c>
      <c r="AM27" s="7">
        <f>0.08</f>
        <v>0.08</v>
      </c>
      <c r="AX27" s="11">
        <v>219.29999999999998</v>
      </c>
      <c r="AY27" s="7">
        <v>10.745699999999999</v>
      </c>
      <c r="BA27" s="7">
        <v>0</v>
      </c>
    </row>
    <row r="28" spans="1:53" s="7" customFormat="1" x14ac:dyDescent="0.25">
      <c r="A28" s="7" t="s">
        <v>215</v>
      </c>
      <c r="B28" s="7" t="s">
        <v>216</v>
      </c>
      <c r="C28" s="8" t="s">
        <v>217</v>
      </c>
      <c r="D28" s="8" t="s">
        <v>218</v>
      </c>
      <c r="E28" s="7">
        <v>8.2799999999999994</v>
      </c>
      <c r="F28" s="7">
        <v>48.24</v>
      </c>
      <c r="G28" s="7">
        <v>7.7455366071236922</v>
      </c>
      <c r="H28" s="7">
        <v>44.768124784919017</v>
      </c>
      <c r="I28" s="9" t="s">
        <v>4</v>
      </c>
      <c r="J28" s="7">
        <v>55</v>
      </c>
      <c r="K28" s="7">
        <f>5*24</f>
        <v>120</v>
      </c>
      <c r="L28" s="19">
        <v>0.50600000000000001</v>
      </c>
      <c r="M28" s="7">
        <v>14.81</v>
      </c>
      <c r="N28" s="7" t="s">
        <v>16</v>
      </c>
      <c r="O28" s="7">
        <v>3</v>
      </c>
      <c r="P28" s="7">
        <f>(5/6)*2</f>
        <v>1.6666666666666667</v>
      </c>
      <c r="Q28" s="7" t="s">
        <v>5</v>
      </c>
      <c r="R28" s="7">
        <v>10</v>
      </c>
      <c r="S28" s="7">
        <f>(1/6)*2</f>
        <v>0.33333333333333331</v>
      </c>
      <c r="Z28" s="7" t="s">
        <v>22</v>
      </c>
      <c r="AA28" s="7">
        <v>30</v>
      </c>
      <c r="AB28" s="7">
        <f>19.3</f>
        <v>19.3</v>
      </c>
      <c r="AC28" s="7">
        <f>0.08</f>
        <v>0.08</v>
      </c>
      <c r="AD28" s="7" t="s">
        <v>219</v>
      </c>
      <c r="AG28" s="7" t="s">
        <v>220</v>
      </c>
      <c r="AH28" s="7" t="s">
        <v>221</v>
      </c>
      <c r="AL28" s="7">
        <f>9.98</f>
        <v>9.98</v>
      </c>
      <c r="AM28" s="7">
        <f>0.012</f>
        <v>1.2E-2</v>
      </c>
      <c r="AX28" s="11"/>
      <c r="AY28" s="7">
        <v>0</v>
      </c>
      <c r="BA28" s="7">
        <v>0</v>
      </c>
    </row>
    <row r="29" spans="1:53" s="7" customFormat="1" x14ac:dyDescent="0.25">
      <c r="A29" s="7" t="s">
        <v>222</v>
      </c>
      <c r="B29" s="7" t="s">
        <v>223</v>
      </c>
      <c r="C29" s="8" t="s">
        <v>224</v>
      </c>
      <c r="D29" s="8" t="s">
        <v>225</v>
      </c>
      <c r="E29" s="7">
        <v>8.26</v>
      </c>
      <c r="F29" s="7">
        <v>53.73</v>
      </c>
      <c r="G29" s="7">
        <v>7.3060316869367403</v>
      </c>
      <c r="H29" s="7">
        <v>47.537107406401788</v>
      </c>
      <c r="I29" s="9" t="s">
        <v>4</v>
      </c>
      <c r="J29" s="7">
        <v>85</v>
      </c>
      <c r="K29" s="7">
        <v>24</v>
      </c>
      <c r="L29" s="10">
        <v>0.76</v>
      </c>
      <c r="M29" s="7">
        <v>22.99</v>
      </c>
      <c r="N29" s="7" t="s">
        <v>16</v>
      </c>
      <c r="O29" s="7">
        <v>3</v>
      </c>
      <c r="P29" s="7">
        <v>1</v>
      </c>
      <c r="Z29" s="7" t="s">
        <v>226</v>
      </c>
      <c r="AA29" s="7">
        <v>37</v>
      </c>
      <c r="AB29" s="7">
        <f>0.01*1000</f>
        <v>10</v>
      </c>
      <c r="AC29" s="7">
        <f>0.05</f>
        <v>0.05</v>
      </c>
      <c r="AD29" s="7" t="s">
        <v>227</v>
      </c>
      <c r="AG29" s="7" t="s">
        <v>228</v>
      </c>
      <c r="AH29" s="7" t="s">
        <v>229</v>
      </c>
      <c r="AL29" s="7">
        <f>0.0024*1000</f>
        <v>2.4</v>
      </c>
      <c r="AM29" s="7">
        <f>0.005</f>
        <v>5.0000000000000001E-3</v>
      </c>
      <c r="AX29" s="11"/>
      <c r="AY29" s="7">
        <v>0</v>
      </c>
      <c r="BA29" s="7">
        <v>0</v>
      </c>
    </row>
    <row r="30" spans="1:53" s="7" customFormat="1" x14ac:dyDescent="0.25">
      <c r="A30" s="7" t="s">
        <v>230</v>
      </c>
      <c r="B30" s="7" t="s">
        <v>231</v>
      </c>
      <c r="C30" s="8" t="s">
        <v>232</v>
      </c>
      <c r="D30" s="8" t="s">
        <v>233</v>
      </c>
      <c r="E30" s="7">
        <v>8.26</v>
      </c>
      <c r="F30" s="7">
        <v>53.01</v>
      </c>
      <c r="G30" s="7">
        <v>7.4161115785974001</v>
      </c>
      <c r="H30" s="7">
        <v>47.412117909479463</v>
      </c>
      <c r="I30" s="9" t="s">
        <v>4</v>
      </c>
      <c r="J30" s="7">
        <v>85</v>
      </c>
      <c r="K30" s="7">
        <v>18</v>
      </c>
      <c r="L30" s="10">
        <v>0.6</v>
      </c>
      <c r="M30" s="7">
        <v>149.4</v>
      </c>
      <c r="N30" s="7" t="s">
        <v>16</v>
      </c>
      <c r="O30" s="7">
        <v>3</v>
      </c>
      <c r="P30" s="7">
        <f>(5/6)*15</f>
        <v>12.5</v>
      </c>
      <c r="Q30" s="7" t="s">
        <v>5</v>
      </c>
      <c r="R30" s="7">
        <v>10</v>
      </c>
      <c r="S30" s="7">
        <f>(1/6)*15</f>
        <v>2.5</v>
      </c>
      <c r="T30" s="7" t="s">
        <v>688</v>
      </c>
      <c r="U30" s="7">
        <v>19</v>
      </c>
      <c r="V30" s="7">
        <v>2</v>
      </c>
      <c r="W30" s="7">
        <v>0.3</v>
      </c>
      <c r="X30" s="12">
        <f>V30*36.46/(1.18*1000)</f>
        <v>6.1796610169491527E-2</v>
      </c>
      <c r="Y30" s="7">
        <f>W30*X30/Solvent!K20</f>
        <v>5.149717514124294E-2</v>
      </c>
      <c r="Z30" s="7" t="s">
        <v>6</v>
      </c>
      <c r="AA30" s="7">
        <v>29</v>
      </c>
      <c r="AB30" s="7">
        <f>0.186*1000</f>
        <v>186</v>
      </c>
      <c r="AC30" s="7">
        <f>0.8</f>
        <v>0.8</v>
      </c>
      <c r="AD30" s="7" t="s">
        <v>234</v>
      </c>
      <c r="AG30" s="7" t="s">
        <v>235</v>
      </c>
      <c r="AH30" s="7" t="s">
        <v>236</v>
      </c>
      <c r="AL30" s="7">
        <f>0.1*1000</f>
        <v>100</v>
      </c>
      <c r="AM30" s="7">
        <f>0.13</f>
        <v>0.13</v>
      </c>
      <c r="AX30" s="11"/>
      <c r="AY30" s="7">
        <v>0</v>
      </c>
      <c r="BA30" s="7">
        <v>0</v>
      </c>
    </row>
    <row r="31" spans="1:53" s="7" customFormat="1" x14ac:dyDescent="0.25">
      <c r="A31" s="7" t="s">
        <v>237</v>
      </c>
      <c r="C31" s="8" t="s">
        <v>238</v>
      </c>
      <c r="D31" s="8" t="s">
        <v>239</v>
      </c>
      <c r="E31" s="7">
        <v>8.2100000000000009</v>
      </c>
      <c r="F31" s="7">
        <v>53.62</v>
      </c>
      <c r="G31" s="7">
        <v>7.251313779685912</v>
      </c>
      <c r="H31" s="7">
        <v>47.153202045078373</v>
      </c>
      <c r="I31" s="9" t="s">
        <v>4</v>
      </c>
      <c r="J31" s="7">
        <v>80</v>
      </c>
      <c r="K31" s="7">
        <v>24</v>
      </c>
      <c r="L31" s="10">
        <v>0.72</v>
      </c>
      <c r="M31" s="7">
        <v>27.6</v>
      </c>
      <c r="N31" s="7" t="s">
        <v>60</v>
      </c>
      <c r="O31" s="7">
        <v>4</v>
      </c>
      <c r="P31" s="7">
        <v>4.5</v>
      </c>
      <c r="Q31" s="7" t="s">
        <v>5</v>
      </c>
      <c r="R31" s="7">
        <v>10</v>
      </c>
      <c r="S31" s="7">
        <v>1.5</v>
      </c>
      <c r="T31" s="7" t="s">
        <v>688</v>
      </c>
      <c r="U31" s="7">
        <v>19</v>
      </c>
      <c r="V31" s="7">
        <v>3</v>
      </c>
      <c r="W31" s="7">
        <f>0.5</f>
        <v>0.5</v>
      </c>
      <c r="X31" s="12">
        <f>V31*36.46/(1.18*1000)</f>
        <v>9.2694915254237287E-2</v>
      </c>
      <c r="Y31" s="7">
        <f>W31*X31/Solvent!K20</f>
        <v>0.12874293785310734</v>
      </c>
      <c r="Z31" s="7" t="s">
        <v>6</v>
      </c>
      <c r="AA31" s="7">
        <v>29</v>
      </c>
      <c r="AB31" s="7">
        <v>30</v>
      </c>
      <c r="AC31" s="7">
        <f>0.13</f>
        <v>0.13</v>
      </c>
      <c r="AD31" s="7" t="s">
        <v>240</v>
      </c>
      <c r="AE31" s="7" t="s">
        <v>241</v>
      </c>
      <c r="AF31" s="7" t="s">
        <v>242</v>
      </c>
      <c r="AG31" s="7" t="s">
        <v>243</v>
      </c>
      <c r="AH31" s="7" t="s">
        <v>244</v>
      </c>
      <c r="AI31" s="7" t="s">
        <v>158</v>
      </c>
      <c r="AJ31" s="7">
        <v>1</v>
      </c>
      <c r="AK31" s="7">
        <v>0.95</v>
      </c>
      <c r="AL31" s="7">
        <v>15</v>
      </c>
      <c r="AM31" s="7">
        <f>0.03</f>
        <v>0.03</v>
      </c>
      <c r="AX31" s="11">
        <v>144.5</v>
      </c>
      <c r="AY31" s="7">
        <v>2.1675</v>
      </c>
      <c r="BA31" s="7">
        <v>0</v>
      </c>
    </row>
    <row r="32" spans="1:53" s="7" customFormat="1" x14ac:dyDescent="0.25">
      <c r="A32" s="7" t="s">
        <v>245</v>
      </c>
      <c r="C32" s="8" t="s">
        <v>246</v>
      </c>
      <c r="D32" s="8" t="s">
        <v>247</v>
      </c>
      <c r="E32" s="7">
        <v>8.09</v>
      </c>
      <c r="F32" s="7">
        <v>52.23</v>
      </c>
      <c r="G32" s="7">
        <v>7.2096656214481936</v>
      </c>
      <c r="H32" s="7">
        <v>46.286345971455063</v>
      </c>
      <c r="I32" s="9" t="s">
        <v>4</v>
      </c>
      <c r="J32" s="7">
        <v>75</v>
      </c>
      <c r="K32" s="7">
        <f>3*24</f>
        <v>72</v>
      </c>
      <c r="L32" s="10">
        <v>0.2</v>
      </c>
      <c r="M32" s="7">
        <v>5</v>
      </c>
      <c r="N32" s="7" t="s">
        <v>16</v>
      </c>
      <c r="O32" s="7">
        <v>3</v>
      </c>
      <c r="P32" s="7">
        <v>15</v>
      </c>
      <c r="T32" s="7" t="s">
        <v>685</v>
      </c>
      <c r="U32" s="7">
        <v>16</v>
      </c>
      <c r="V32" s="7">
        <v>1</v>
      </c>
      <c r="W32" s="7">
        <v>0.5</v>
      </c>
      <c r="X32" s="12">
        <f>V32*63.02/(1.42*1000)</f>
        <v>4.4380281690140848E-2</v>
      </c>
      <c r="Y32" s="7">
        <f>W32*X32/Solvent!K17</f>
        <v>3.2632560066280035E-2</v>
      </c>
      <c r="Z32" s="7" t="s">
        <v>22</v>
      </c>
      <c r="AA32" s="7">
        <v>30</v>
      </c>
      <c r="AB32" s="7">
        <v>19</v>
      </c>
      <c r="AC32" s="7">
        <f>0.075</f>
        <v>7.4999999999999997E-2</v>
      </c>
      <c r="AD32" s="7" t="s">
        <v>248</v>
      </c>
      <c r="AG32" s="7" t="s">
        <v>249</v>
      </c>
      <c r="AH32" s="7" t="s">
        <v>250</v>
      </c>
      <c r="AL32" s="7">
        <v>20</v>
      </c>
      <c r="AM32" s="7">
        <v>2.7E-2</v>
      </c>
      <c r="AX32" s="11"/>
      <c r="AY32" s="7">
        <v>0</v>
      </c>
      <c r="BA32" s="7">
        <v>0</v>
      </c>
    </row>
    <row r="33" spans="1:53" s="7" customFormat="1" x14ac:dyDescent="0.25">
      <c r="A33" s="7" t="s">
        <v>251</v>
      </c>
      <c r="C33" s="8" t="s">
        <v>252</v>
      </c>
      <c r="D33" s="8" t="s">
        <v>253</v>
      </c>
      <c r="E33" s="7">
        <v>8.0399999999999991</v>
      </c>
      <c r="F33" s="7">
        <v>58.16</v>
      </c>
      <c r="G33" s="7">
        <v>6.6119862237156726</v>
      </c>
      <c r="H33" s="7">
        <v>47.835960928534583</v>
      </c>
      <c r="I33" s="9" t="s">
        <v>4</v>
      </c>
      <c r="J33" s="7">
        <v>85</v>
      </c>
      <c r="K33" s="7">
        <v>24</v>
      </c>
      <c r="L33" s="10">
        <v>0.5</v>
      </c>
      <c r="M33" s="7">
        <f>7.57*L33</f>
        <v>3.7850000000000001</v>
      </c>
      <c r="N33" s="7" t="s">
        <v>16</v>
      </c>
      <c r="O33" s="7">
        <v>3</v>
      </c>
      <c r="P33" s="7">
        <v>1</v>
      </c>
      <c r="Q33" s="7" t="s">
        <v>39</v>
      </c>
      <c r="R33" s="7">
        <v>12</v>
      </c>
      <c r="S33" s="7">
        <v>0.5</v>
      </c>
      <c r="T33" s="7" t="s">
        <v>685</v>
      </c>
      <c r="U33" s="7">
        <v>16</v>
      </c>
      <c r="V33" s="7">
        <v>2.7</v>
      </c>
      <c r="W33" s="7">
        <f>150/1000</f>
        <v>0.15</v>
      </c>
      <c r="X33" s="12">
        <f>V33*63.02/(1.42*1000)</f>
        <v>0.11982676056338031</v>
      </c>
      <c r="Y33" s="7">
        <f>W33*X33/Solvent!K17</f>
        <v>2.6432373653686825E-2</v>
      </c>
      <c r="Z33" s="7" t="s">
        <v>162</v>
      </c>
      <c r="AA33" s="7">
        <v>45</v>
      </c>
      <c r="AB33" s="7">
        <v>10</v>
      </c>
      <c r="AC33" s="7">
        <v>3.3599999999999998E-2</v>
      </c>
      <c r="AD33" s="7" t="s">
        <v>254</v>
      </c>
      <c r="AE33" s="7" t="s">
        <v>255</v>
      </c>
      <c r="AF33" s="7" t="s">
        <v>256</v>
      </c>
      <c r="AG33" s="7" t="s">
        <v>257</v>
      </c>
      <c r="AH33" s="7" t="s">
        <v>258</v>
      </c>
      <c r="AI33" s="7" t="s">
        <v>158</v>
      </c>
      <c r="AJ33" s="7">
        <v>1</v>
      </c>
      <c r="AK33" s="7">
        <v>0.98</v>
      </c>
      <c r="AL33" s="7">
        <v>4</v>
      </c>
      <c r="AM33" s="7">
        <v>7.1000000000000004E-3</v>
      </c>
      <c r="AX33" s="11">
        <v>82.45</v>
      </c>
      <c r="AY33" s="7">
        <v>0.32980000000000004</v>
      </c>
      <c r="BA33" s="7">
        <v>0</v>
      </c>
    </row>
    <row r="34" spans="1:53" s="7" customFormat="1" x14ac:dyDescent="0.25">
      <c r="A34" s="7" t="s">
        <v>259</v>
      </c>
      <c r="C34" s="8" t="s">
        <v>260</v>
      </c>
      <c r="D34" s="8" t="s">
        <v>261</v>
      </c>
      <c r="E34" s="7">
        <v>8.02</v>
      </c>
      <c r="F34" s="7">
        <v>52.47</v>
      </c>
      <c r="G34" s="7">
        <v>7.1989856512388144</v>
      </c>
      <c r="H34" s="7">
        <v>46.79065514390102</v>
      </c>
      <c r="I34" s="9" t="s">
        <v>4</v>
      </c>
      <c r="J34" s="7">
        <v>70</v>
      </c>
      <c r="K34" s="7">
        <v>48</v>
      </c>
      <c r="L34" s="10">
        <v>0.91</v>
      </c>
      <c r="M34" s="7">
        <f>0.106*1000</f>
        <v>106</v>
      </c>
      <c r="N34" s="7" t="s">
        <v>16</v>
      </c>
      <c r="O34" s="7">
        <v>3</v>
      </c>
      <c r="P34" s="7">
        <v>4</v>
      </c>
      <c r="T34" s="7" t="s">
        <v>685</v>
      </c>
      <c r="U34" s="7">
        <v>16</v>
      </c>
      <c r="V34" s="7">
        <v>1</v>
      </c>
      <c r="W34" s="7">
        <v>0.7</v>
      </c>
      <c r="X34" s="12">
        <f>V34*63.02/(1.42*1000)</f>
        <v>4.4380281690140848E-2</v>
      </c>
      <c r="Y34" s="7">
        <f>W34*X34/Solvent!K17</f>
        <v>4.5685584092792046E-2</v>
      </c>
      <c r="Z34" s="7" t="s">
        <v>214</v>
      </c>
      <c r="AA34" s="7">
        <v>32</v>
      </c>
      <c r="AB34" s="7">
        <f>0.034*1000</f>
        <v>34</v>
      </c>
      <c r="AC34" s="7">
        <f>0.16</f>
        <v>0.16</v>
      </c>
      <c r="AD34" s="7" t="s">
        <v>208</v>
      </c>
      <c r="AE34" s="7" t="s">
        <v>262</v>
      </c>
      <c r="AF34" s="7" t="s">
        <v>263</v>
      </c>
      <c r="AG34" s="7" t="s">
        <v>264</v>
      </c>
      <c r="AH34" s="7" t="s">
        <v>265</v>
      </c>
      <c r="AI34" s="7" t="s">
        <v>158</v>
      </c>
      <c r="AJ34" s="7">
        <v>1</v>
      </c>
      <c r="AK34" s="7">
        <v>0.98</v>
      </c>
      <c r="AL34" s="7">
        <f>0.049*1000</f>
        <v>49</v>
      </c>
      <c r="AM34" s="7">
        <f>0.08</f>
        <v>0.08</v>
      </c>
      <c r="AX34" s="11">
        <v>393.55</v>
      </c>
      <c r="AY34" s="7">
        <v>19.283950000000001</v>
      </c>
      <c r="BA34" s="7">
        <v>0</v>
      </c>
    </row>
    <row r="35" spans="1:53" s="7" customFormat="1" x14ac:dyDescent="0.25">
      <c r="A35" s="7" t="s">
        <v>266</v>
      </c>
      <c r="B35" s="7" t="s">
        <v>267</v>
      </c>
      <c r="C35" s="8" t="s">
        <v>268</v>
      </c>
      <c r="D35" s="8" t="s">
        <v>269</v>
      </c>
      <c r="E35" s="7">
        <v>8.01</v>
      </c>
      <c r="F35" s="7">
        <v>52.85</v>
      </c>
      <c r="G35" s="7">
        <v>7.2756556326591229</v>
      </c>
      <c r="H35" s="7">
        <v>48.035145162611478</v>
      </c>
      <c r="I35" s="9" t="s">
        <v>4</v>
      </c>
      <c r="J35" s="7">
        <v>85</v>
      </c>
      <c r="K35" s="7">
        <v>24</v>
      </c>
      <c r="L35" s="10">
        <v>0.62</v>
      </c>
      <c r="M35" s="7">
        <f>9.12</f>
        <v>9.1199999999999992</v>
      </c>
      <c r="N35" s="7" t="s">
        <v>16</v>
      </c>
      <c r="O35" s="7">
        <v>3</v>
      </c>
      <c r="P35" s="7">
        <v>2</v>
      </c>
      <c r="T35" s="7" t="s">
        <v>586</v>
      </c>
      <c r="U35" s="7">
        <v>16</v>
      </c>
      <c r="V35" s="7">
        <v>1</v>
      </c>
      <c r="W35" s="7">
        <f>0.05</f>
        <v>0.05</v>
      </c>
      <c r="X35" s="12">
        <f>V35*63.02/(1.42*1000)</f>
        <v>4.4380281690140848E-2</v>
      </c>
      <c r="Y35" s="7">
        <f>W35*X35/Solvent!K17</f>
        <v>3.2632560066280032E-3</v>
      </c>
      <c r="Z35" s="7" t="s">
        <v>97</v>
      </c>
      <c r="AA35" s="7">
        <v>33</v>
      </c>
      <c r="AB35" s="7">
        <v>8</v>
      </c>
      <c r="AC35" s="7">
        <f>0.03</f>
        <v>0.03</v>
      </c>
      <c r="AD35" s="7" t="s">
        <v>270</v>
      </c>
      <c r="AE35" s="7" t="s">
        <v>271</v>
      </c>
      <c r="AF35" s="7" t="s">
        <v>272</v>
      </c>
      <c r="AG35" s="7" t="s">
        <v>273</v>
      </c>
      <c r="AH35" s="7" t="s">
        <v>274</v>
      </c>
      <c r="AI35" s="7" t="s">
        <v>35</v>
      </c>
      <c r="AJ35" s="7">
        <v>1</v>
      </c>
      <c r="AK35" s="7">
        <v>0.95</v>
      </c>
      <c r="AL35" s="7">
        <f>5</f>
        <v>5</v>
      </c>
      <c r="AM35" s="7">
        <f>0.015</f>
        <v>1.4999999999999999E-2</v>
      </c>
      <c r="AX35" s="11">
        <v>30.429999999999996</v>
      </c>
      <c r="AY35" s="7">
        <v>0.15214999999999998</v>
      </c>
      <c r="BA35" s="7">
        <v>0</v>
      </c>
    </row>
    <row r="36" spans="1:53" s="7" customFormat="1" x14ac:dyDescent="0.25">
      <c r="A36" s="7" t="s">
        <v>275</v>
      </c>
      <c r="C36" s="8" t="s">
        <v>276</v>
      </c>
      <c r="D36" s="8" t="s">
        <v>277</v>
      </c>
      <c r="E36" s="7">
        <v>7.87</v>
      </c>
      <c r="F36" s="7">
        <v>52.02</v>
      </c>
      <c r="G36" s="7">
        <v>7.0942647407125454</v>
      </c>
      <c r="H36" s="7">
        <v>46.805766850196783</v>
      </c>
      <c r="I36" s="9" t="s">
        <v>4</v>
      </c>
      <c r="J36" s="7">
        <v>80</v>
      </c>
      <c r="K36" s="7">
        <v>48</v>
      </c>
      <c r="L36" s="10">
        <v>0.67</v>
      </c>
      <c r="M36" s="7">
        <v>18</v>
      </c>
      <c r="N36" s="7" t="s">
        <v>16</v>
      </c>
      <c r="O36" s="7">
        <v>3</v>
      </c>
      <c r="P36" s="7">
        <v>10</v>
      </c>
      <c r="T36" s="7" t="s">
        <v>75</v>
      </c>
      <c r="U36" s="7">
        <v>19</v>
      </c>
      <c r="V36" s="7">
        <v>0.1</v>
      </c>
      <c r="W36" s="7">
        <v>0.6</v>
      </c>
      <c r="X36" s="12">
        <f>V36*36.46/(1.18*1000)</f>
        <v>3.0898305084745767E-3</v>
      </c>
      <c r="Y36" s="7">
        <f>W36*X36/Solvent!K20</f>
        <v>5.1497175141242942E-3</v>
      </c>
      <c r="Z36" s="7" t="s">
        <v>143</v>
      </c>
      <c r="AA36" s="7">
        <v>34</v>
      </c>
      <c r="AB36" s="7">
        <v>10</v>
      </c>
      <c r="AC36" s="7">
        <v>0.06</v>
      </c>
      <c r="AD36" s="7" t="s">
        <v>270</v>
      </c>
      <c r="AE36" s="7" t="s">
        <v>278</v>
      </c>
      <c r="AF36" s="7" t="s">
        <v>279</v>
      </c>
      <c r="AG36" s="7" t="s">
        <v>280</v>
      </c>
      <c r="AH36" s="7" t="s">
        <v>281</v>
      </c>
      <c r="AI36" s="7" t="s">
        <v>282</v>
      </c>
      <c r="AJ36" s="7">
        <v>1</v>
      </c>
      <c r="AK36" s="7">
        <v>0.98</v>
      </c>
      <c r="AL36" s="7">
        <v>10</v>
      </c>
      <c r="AM36" s="7">
        <v>0.04</v>
      </c>
      <c r="AX36" s="11">
        <v>100.62</v>
      </c>
      <c r="AY36" s="7">
        <v>1.0062</v>
      </c>
      <c r="BA36" s="7">
        <v>0</v>
      </c>
    </row>
    <row r="37" spans="1:53" s="7" customFormat="1" x14ac:dyDescent="0.25">
      <c r="A37" s="7" t="s">
        <v>283</v>
      </c>
      <c r="B37" s="7" t="s">
        <v>284</v>
      </c>
      <c r="C37" s="8" t="s">
        <v>66</v>
      </c>
      <c r="D37" s="8" t="s">
        <v>285</v>
      </c>
      <c r="E37" s="7">
        <v>7.77</v>
      </c>
      <c r="F37" s="7">
        <v>52.74</v>
      </c>
      <c r="G37" s="7">
        <v>6.8633804401764609</v>
      </c>
      <c r="H37" s="7">
        <v>46.858834105105522</v>
      </c>
      <c r="I37" s="9" t="s">
        <v>4</v>
      </c>
      <c r="J37" s="7">
        <f>(85+105)/2</f>
        <v>95</v>
      </c>
      <c r="K37" s="7">
        <f>12+23</f>
        <v>35</v>
      </c>
      <c r="L37" s="10">
        <v>0.5</v>
      </c>
      <c r="M37" s="7">
        <f>41*L37</f>
        <v>20.5</v>
      </c>
      <c r="N37" s="7" t="s">
        <v>16</v>
      </c>
      <c r="O37" s="7">
        <v>3</v>
      </c>
      <c r="P37" s="7">
        <v>1</v>
      </c>
      <c r="Q37" s="7" t="s">
        <v>29</v>
      </c>
      <c r="R37" s="7">
        <v>5</v>
      </c>
      <c r="S37" s="7">
        <v>0.5</v>
      </c>
      <c r="Z37" s="7" t="s">
        <v>286</v>
      </c>
      <c r="AA37" s="7">
        <v>41</v>
      </c>
      <c r="AB37" s="7">
        <v>24</v>
      </c>
      <c r="AC37" s="7">
        <f>0.0825</f>
        <v>8.2500000000000004E-2</v>
      </c>
      <c r="AD37" s="7" t="s">
        <v>287</v>
      </c>
      <c r="AG37" s="7" t="s">
        <v>288</v>
      </c>
      <c r="AH37" s="7" t="s">
        <v>289</v>
      </c>
      <c r="AL37" s="7">
        <v>37</v>
      </c>
      <c r="AM37" s="7">
        <f>0.056</f>
        <v>5.6000000000000001E-2</v>
      </c>
      <c r="AX37" s="11"/>
      <c r="AY37" s="7">
        <v>0</v>
      </c>
      <c r="BA37" s="7">
        <v>0</v>
      </c>
    </row>
    <row r="38" spans="1:53" s="7" customFormat="1" ht="18" customHeight="1" x14ac:dyDescent="0.25">
      <c r="A38" s="7" t="s">
        <v>290</v>
      </c>
      <c r="B38" s="7">
        <v>1</v>
      </c>
      <c r="C38" s="8" t="s">
        <v>291</v>
      </c>
      <c r="D38" s="8" t="s">
        <v>292</v>
      </c>
      <c r="E38" s="7">
        <v>7.74</v>
      </c>
      <c r="F38" s="7">
        <v>53.61</v>
      </c>
      <c r="G38" s="7">
        <v>6.6834783974739409</v>
      </c>
      <c r="H38" s="7">
        <v>46.137398124867751</v>
      </c>
      <c r="I38" s="9" t="s">
        <v>4</v>
      </c>
      <c r="J38" s="7">
        <v>85</v>
      </c>
      <c r="K38" s="7">
        <f>4*24</f>
        <v>96</v>
      </c>
      <c r="L38" s="10">
        <v>0.34</v>
      </c>
      <c r="M38" s="7">
        <v>54.94</v>
      </c>
      <c r="N38" s="7" t="s">
        <v>5</v>
      </c>
      <c r="O38" s="7">
        <v>10</v>
      </c>
      <c r="P38" s="7">
        <v>5</v>
      </c>
      <c r="Q38" s="7" t="s">
        <v>51</v>
      </c>
      <c r="R38" s="7">
        <v>11</v>
      </c>
      <c r="S38" s="7">
        <v>5</v>
      </c>
      <c r="Z38" s="7" t="s">
        <v>143</v>
      </c>
      <c r="AA38" s="7">
        <v>34</v>
      </c>
      <c r="AB38" s="7">
        <f>0.085*1000</f>
        <v>85</v>
      </c>
      <c r="AC38" s="7">
        <f>0.5</f>
        <v>0.5</v>
      </c>
      <c r="AD38" s="7" t="s">
        <v>293</v>
      </c>
      <c r="AF38" s="7" t="s">
        <v>294</v>
      </c>
      <c r="AG38" s="7" t="s">
        <v>295</v>
      </c>
      <c r="AH38" s="7" t="s">
        <v>296</v>
      </c>
      <c r="AI38" s="7" t="s">
        <v>297</v>
      </c>
      <c r="AJ38" s="7">
        <v>0.05</v>
      </c>
      <c r="AK38" s="7">
        <v>0.9</v>
      </c>
      <c r="AL38" s="7">
        <f>0.02*1000</f>
        <v>20</v>
      </c>
      <c r="AM38" s="7">
        <f>0.1</f>
        <v>0.1</v>
      </c>
      <c r="AN38" s="7" t="s">
        <v>298</v>
      </c>
      <c r="AV38" s="7">
        <f>0.124*1000</f>
        <v>124</v>
      </c>
      <c r="AW38" s="7">
        <f>0.1</f>
        <v>0.1</v>
      </c>
      <c r="AX38" s="11">
        <v>4558</v>
      </c>
      <c r="AY38" s="7">
        <v>91.16</v>
      </c>
      <c r="AZ38" s="7">
        <v>0.84466226294481139</v>
      </c>
      <c r="BA38" s="7">
        <v>0.104738120605157</v>
      </c>
    </row>
    <row r="39" spans="1:53" s="7" customFormat="1" x14ac:dyDescent="0.25">
      <c r="A39" s="7" t="s">
        <v>299</v>
      </c>
      <c r="B39" s="7" t="s">
        <v>300</v>
      </c>
      <c r="C39" s="8" t="s">
        <v>66</v>
      </c>
      <c r="D39" s="8" t="s">
        <v>301</v>
      </c>
      <c r="E39" s="7">
        <v>7.7</v>
      </c>
      <c r="F39" s="7">
        <v>52.7</v>
      </c>
      <c r="G39" s="7">
        <v>6.8413301474138803</v>
      </c>
      <c r="H39" s="7">
        <v>46.573654696786349</v>
      </c>
      <c r="I39" s="9" t="s">
        <v>4</v>
      </c>
      <c r="J39" s="7">
        <v>85</v>
      </c>
      <c r="K39" s="7">
        <v>12</v>
      </c>
      <c r="L39" s="10">
        <v>0.5</v>
      </c>
      <c r="M39" s="21">
        <f>19.4*L39</f>
        <v>9.6999999999999993</v>
      </c>
      <c r="N39" s="7" t="s">
        <v>16</v>
      </c>
      <c r="O39" s="7">
        <v>3</v>
      </c>
      <c r="P39" s="7">
        <v>1</v>
      </c>
      <c r="Q39" s="7" t="s">
        <v>29</v>
      </c>
      <c r="R39" s="7">
        <v>5</v>
      </c>
      <c r="S39" s="7">
        <v>1</v>
      </c>
      <c r="Z39" s="7" t="s">
        <v>162</v>
      </c>
      <c r="AA39" s="7">
        <v>45</v>
      </c>
      <c r="AB39" s="7">
        <v>12.5</v>
      </c>
      <c r="AC39" s="7">
        <f>0.042</f>
        <v>4.2000000000000003E-2</v>
      </c>
      <c r="AD39" s="7" t="s">
        <v>287</v>
      </c>
      <c r="AE39" s="7" t="s">
        <v>302</v>
      </c>
      <c r="AG39" s="7" t="s">
        <v>288</v>
      </c>
      <c r="AH39" s="7" t="s">
        <v>289</v>
      </c>
      <c r="AI39" s="7" t="s">
        <v>158</v>
      </c>
      <c r="AJ39" s="7">
        <v>1</v>
      </c>
      <c r="AK39" s="7">
        <v>0.99</v>
      </c>
      <c r="AL39" s="7">
        <v>18</v>
      </c>
      <c r="AM39" s="7">
        <f>0.0273</f>
        <v>2.7300000000000001E-2</v>
      </c>
      <c r="AX39" s="11">
        <v>260.09999999999997</v>
      </c>
      <c r="AY39" s="7">
        <v>4.6817999999999991</v>
      </c>
      <c r="BA39" s="7">
        <v>0</v>
      </c>
    </row>
    <row r="40" spans="1:53" s="7" customFormat="1" ht="18" customHeight="1" x14ac:dyDescent="0.25">
      <c r="A40" s="7" t="s">
        <v>303</v>
      </c>
      <c r="B40" s="7">
        <v>3</v>
      </c>
      <c r="C40" s="8" t="s">
        <v>304</v>
      </c>
      <c r="D40" s="8" t="s">
        <v>305</v>
      </c>
      <c r="E40" s="7">
        <v>7.63</v>
      </c>
      <c r="F40" s="7">
        <v>51.98</v>
      </c>
      <c r="G40" s="7">
        <v>6.716191461523688</v>
      </c>
      <c r="H40" s="7">
        <v>45.646926897768857</v>
      </c>
      <c r="I40" s="9" t="s">
        <v>4</v>
      </c>
      <c r="J40" s="7">
        <v>140</v>
      </c>
      <c r="K40" s="7">
        <f>5*24</f>
        <v>120</v>
      </c>
      <c r="L40" s="10">
        <v>0.4</v>
      </c>
      <c r="M40" s="7">
        <v>284</v>
      </c>
      <c r="N40" s="7" t="s">
        <v>5</v>
      </c>
      <c r="O40" s="7">
        <v>10</v>
      </c>
      <c r="P40" s="7">
        <v>10</v>
      </c>
      <c r="Z40" s="7" t="s">
        <v>214</v>
      </c>
      <c r="AA40" s="7">
        <v>32</v>
      </c>
      <c r="AB40" s="7">
        <v>236</v>
      </c>
      <c r="AC40" s="7">
        <f>0.8</f>
        <v>0.8</v>
      </c>
      <c r="AD40" s="7" t="s">
        <v>306</v>
      </c>
      <c r="AE40" s="7" t="s">
        <v>307</v>
      </c>
      <c r="AF40" s="7" t="s">
        <v>308</v>
      </c>
      <c r="AG40" s="7" t="s">
        <v>309</v>
      </c>
      <c r="AH40" s="7" t="s">
        <v>310</v>
      </c>
      <c r="AI40" s="7" t="s">
        <v>35</v>
      </c>
      <c r="AJ40" s="7">
        <v>1</v>
      </c>
      <c r="AK40" s="7">
        <v>0.95</v>
      </c>
      <c r="AL40" s="7">
        <v>150</v>
      </c>
      <c r="AM40" s="7">
        <v>0.625</v>
      </c>
      <c r="AV40" s="7">
        <v>500</v>
      </c>
      <c r="AW40" s="7">
        <v>0.2</v>
      </c>
      <c r="AX40" s="11">
        <v>15.164</v>
      </c>
      <c r="AY40" s="7">
        <v>2.2746</v>
      </c>
      <c r="BA40" s="7">
        <v>0</v>
      </c>
    </row>
    <row r="41" spans="1:53" s="7" customFormat="1" x14ac:dyDescent="0.25">
      <c r="A41" s="7" t="s">
        <v>311</v>
      </c>
      <c r="C41" s="8" t="s">
        <v>66</v>
      </c>
      <c r="D41" s="8" t="s">
        <v>312</v>
      </c>
      <c r="E41" s="7">
        <v>7.62</v>
      </c>
      <c r="F41" s="7">
        <v>51.92</v>
      </c>
      <c r="G41" s="7">
        <v>6.7757007855995584</v>
      </c>
      <c r="H41" s="7">
        <v>46.221625854159448</v>
      </c>
      <c r="I41" s="9" t="s">
        <v>4</v>
      </c>
      <c r="J41" s="7">
        <f>(85+105+115)/3</f>
        <v>101.66666666666667</v>
      </c>
      <c r="K41" s="7">
        <f>12+23+23</f>
        <v>58</v>
      </c>
      <c r="L41" s="18">
        <f>50%</f>
        <v>0.5</v>
      </c>
      <c r="M41" s="7">
        <f>42.45*L41</f>
        <v>21.225000000000001</v>
      </c>
      <c r="N41" s="7" t="s">
        <v>16</v>
      </c>
      <c r="O41" s="7">
        <v>3</v>
      </c>
      <c r="P41" s="7">
        <v>1</v>
      </c>
      <c r="Q41" s="7" t="s">
        <v>5</v>
      </c>
      <c r="R41" s="7">
        <v>10</v>
      </c>
      <c r="S41" s="7">
        <v>1</v>
      </c>
      <c r="Z41" s="7" t="s">
        <v>6</v>
      </c>
      <c r="AA41" s="7">
        <v>29</v>
      </c>
      <c r="AB41" s="7">
        <v>20</v>
      </c>
      <c r="AC41" s="7">
        <v>8.5989999999999997E-2</v>
      </c>
      <c r="AD41" s="7" t="s">
        <v>287</v>
      </c>
      <c r="AE41" s="7" t="s">
        <v>302</v>
      </c>
      <c r="AG41" s="7" t="s">
        <v>288</v>
      </c>
      <c r="AH41" s="7" t="s">
        <v>289</v>
      </c>
      <c r="AI41" s="7" t="s">
        <v>158</v>
      </c>
      <c r="AJ41" s="7">
        <v>1</v>
      </c>
      <c r="AK41" s="7">
        <v>0.99</v>
      </c>
      <c r="AL41" s="7">
        <v>37</v>
      </c>
      <c r="AM41" s="7">
        <v>5.602E-2</v>
      </c>
      <c r="AX41" s="11">
        <v>260.09999999999997</v>
      </c>
      <c r="AY41" s="7">
        <v>9.6236999999999977</v>
      </c>
      <c r="BA41" s="7">
        <v>0</v>
      </c>
    </row>
    <row r="42" spans="1:53" s="7" customFormat="1" x14ac:dyDescent="0.25">
      <c r="A42" s="7" t="s">
        <v>313</v>
      </c>
      <c r="C42" s="8" t="s">
        <v>314</v>
      </c>
      <c r="D42" s="8" t="s">
        <v>315</v>
      </c>
      <c r="E42" s="7">
        <v>7.62</v>
      </c>
      <c r="F42" s="7">
        <v>49.74</v>
      </c>
      <c r="G42" s="7">
        <v>6.9907826830187831</v>
      </c>
      <c r="H42" s="7">
        <v>45.374299417624371</v>
      </c>
      <c r="I42" s="9" t="s">
        <v>4</v>
      </c>
      <c r="J42" s="7">
        <v>85</v>
      </c>
      <c r="K42" s="7">
        <v>72</v>
      </c>
      <c r="L42" s="10">
        <v>0.9</v>
      </c>
      <c r="M42" s="7">
        <f>1769.8815</f>
        <v>1769.8815</v>
      </c>
      <c r="N42" s="7" t="s">
        <v>16</v>
      </c>
      <c r="O42" s="7">
        <v>3</v>
      </c>
      <c r="P42" s="7">
        <v>8</v>
      </c>
      <c r="Q42" s="7" t="s">
        <v>5</v>
      </c>
      <c r="R42" s="7">
        <v>10</v>
      </c>
      <c r="S42" s="7">
        <v>2</v>
      </c>
      <c r="T42" s="7" t="s">
        <v>316</v>
      </c>
      <c r="U42" s="7">
        <v>25</v>
      </c>
      <c r="W42" s="7">
        <v>2</v>
      </c>
      <c r="Y42" s="7">
        <f>W42</f>
        <v>2</v>
      </c>
      <c r="Z42" s="7" t="s">
        <v>22</v>
      </c>
      <c r="AA42" s="7">
        <v>30</v>
      </c>
      <c r="AB42" s="7">
        <v>72.400000000000006</v>
      </c>
      <c r="AC42" s="7">
        <v>3</v>
      </c>
      <c r="AD42" s="7" t="s">
        <v>53</v>
      </c>
      <c r="AE42" s="7" t="s">
        <v>317</v>
      </c>
      <c r="AF42" s="7" t="s">
        <v>318</v>
      </c>
      <c r="AG42" s="7" t="s">
        <v>319</v>
      </c>
      <c r="AH42" s="7" t="s">
        <v>320</v>
      </c>
      <c r="AI42" s="7" t="s">
        <v>35</v>
      </c>
      <c r="AJ42" s="7">
        <v>5</v>
      </c>
      <c r="AK42" s="7">
        <v>0.97</v>
      </c>
      <c r="AL42" s="7">
        <v>72.5</v>
      </c>
      <c r="AM42" s="7">
        <v>2</v>
      </c>
      <c r="AN42" s="7" t="s">
        <v>321</v>
      </c>
      <c r="AO42" s="7" t="s">
        <v>322</v>
      </c>
      <c r="AP42" s="7" t="s">
        <v>323</v>
      </c>
      <c r="AQ42" s="7" t="s">
        <v>324</v>
      </c>
      <c r="AR42" s="7" t="s">
        <v>325</v>
      </c>
      <c r="AS42" s="7" t="s">
        <v>326</v>
      </c>
      <c r="AT42" s="7">
        <v>1000</v>
      </c>
      <c r="AU42" s="7">
        <v>0.98</v>
      </c>
      <c r="AV42" s="7">
        <v>22.4</v>
      </c>
      <c r="AW42" s="7">
        <v>2</v>
      </c>
      <c r="AX42" s="11">
        <v>74.8</v>
      </c>
      <c r="AY42" s="7">
        <v>5.4229999999999992</v>
      </c>
      <c r="AZ42" s="7">
        <v>7.7350000000000002E-2</v>
      </c>
      <c r="BA42" s="7">
        <v>1.7326400000000001E-3</v>
      </c>
    </row>
    <row r="43" spans="1:53" s="7" customFormat="1" x14ac:dyDescent="0.25">
      <c r="A43" s="7" t="s">
        <v>327</v>
      </c>
      <c r="C43" s="8" t="s">
        <v>328</v>
      </c>
      <c r="D43" s="8" t="s">
        <v>329</v>
      </c>
      <c r="E43" s="7">
        <v>7.53</v>
      </c>
      <c r="F43" s="7">
        <v>55.31</v>
      </c>
      <c r="G43" s="7">
        <v>6.53324317093253</v>
      </c>
      <c r="H43" s="7">
        <v>47.763242890433517</v>
      </c>
      <c r="I43" s="9" t="s">
        <v>4</v>
      </c>
      <c r="J43" s="7">
        <v>110</v>
      </c>
      <c r="K43" s="7">
        <v>48</v>
      </c>
      <c r="L43" s="18">
        <f>50%</f>
        <v>0.5</v>
      </c>
      <c r="M43" s="7">
        <f>11.25*L43</f>
        <v>5.625</v>
      </c>
      <c r="N43" s="7" t="s">
        <v>60</v>
      </c>
      <c r="O43" s="7">
        <v>4</v>
      </c>
      <c r="P43" s="7">
        <v>1</v>
      </c>
      <c r="T43" s="7" t="s">
        <v>330</v>
      </c>
      <c r="U43" s="7">
        <v>21</v>
      </c>
      <c r="W43" s="7">
        <f>50/1000</f>
        <v>0.05</v>
      </c>
      <c r="Y43" s="7">
        <f>W43</f>
        <v>0.05</v>
      </c>
      <c r="Z43" s="7" t="s">
        <v>286</v>
      </c>
      <c r="AA43" s="7">
        <v>41</v>
      </c>
      <c r="AB43" s="7">
        <v>10</v>
      </c>
      <c r="AC43" s="7">
        <v>3.4000000000000002E-2</v>
      </c>
      <c r="AD43" s="7" t="s">
        <v>331</v>
      </c>
      <c r="AE43" s="7" t="s">
        <v>332</v>
      </c>
      <c r="AG43" s="7" t="s">
        <v>333</v>
      </c>
      <c r="AH43" s="7" t="s">
        <v>334</v>
      </c>
      <c r="AI43" s="7" t="s">
        <v>158</v>
      </c>
      <c r="AJ43" s="7">
        <v>1</v>
      </c>
      <c r="AK43" s="7">
        <v>0.99</v>
      </c>
      <c r="AL43" s="7">
        <v>5</v>
      </c>
      <c r="AM43" s="7">
        <v>1.2999999999999999E-2</v>
      </c>
      <c r="AX43" s="11">
        <v>884</v>
      </c>
      <c r="AY43" s="7">
        <v>4.42</v>
      </c>
      <c r="BA43" s="7">
        <v>0</v>
      </c>
    </row>
    <row r="44" spans="1:53" s="7" customFormat="1" x14ac:dyDescent="0.25">
      <c r="A44" s="7" t="s">
        <v>335</v>
      </c>
      <c r="C44" s="8" t="s">
        <v>336</v>
      </c>
      <c r="D44" s="8" t="s">
        <v>337</v>
      </c>
      <c r="E44" s="7">
        <v>7.36</v>
      </c>
      <c r="F44" s="7">
        <v>50.6</v>
      </c>
      <c r="G44" s="7">
        <v>6.5432508579342246</v>
      </c>
      <c r="H44" s="7">
        <v>45.151177848530011</v>
      </c>
      <c r="I44" s="9" t="s">
        <v>4</v>
      </c>
      <c r="J44" s="7">
        <v>160</v>
      </c>
      <c r="K44" s="7">
        <v>72</v>
      </c>
      <c r="L44" s="10">
        <v>0.65</v>
      </c>
      <c r="M44" s="7">
        <f>0.13*1000</f>
        <v>130</v>
      </c>
      <c r="N44" s="7" t="s">
        <v>338</v>
      </c>
      <c r="O44" s="7">
        <v>1</v>
      </c>
      <c r="P44" s="7">
        <v>20</v>
      </c>
      <c r="Q44" s="7" t="s">
        <v>51</v>
      </c>
      <c r="R44" s="7">
        <v>11</v>
      </c>
      <c r="S44" s="7">
        <v>5</v>
      </c>
      <c r="Z44" s="7" t="s">
        <v>339</v>
      </c>
      <c r="AA44" s="7">
        <v>49</v>
      </c>
      <c r="AB44" s="7">
        <f>0.087*1000</f>
        <v>87</v>
      </c>
      <c r="AC44" s="7">
        <f>0.3</f>
        <v>0.3</v>
      </c>
      <c r="AE44" s="7" t="s">
        <v>340</v>
      </c>
      <c r="AF44" s="7" t="s">
        <v>341</v>
      </c>
      <c r="AG44" s="7" t="s">
        <v>342</v>
      </c>
      <c r="AH44" s="7" t="s">
        <v>343</v>
      </c>
      <c r="AI44" s="7" t="s">
        <v>35</v>
      </c>
      <c r="AJ44" s="7">
        <v>100</v>
      </c>
      <c r="AK44" s="7">
        <v>0.98</v>
      </c>
      <c r="AL44" s="7">
        <v>60</v>
      </c>
      <c r="AM44" s="7">
        <v>0.3</v>
      </c>
      <c r="AO44" s="7" t="s">
        <v>344</v>
      </c>
      <c r="AP44" s="7" t="s">
        <v>345</v>
      </c>
      <c r="AQ44" s="7" t="s">
        <v>346</v>
      </c>
      <c r="AR44" s="7" t="s">
        <v>347</v>
      </c>
      <c r="AS44" s="7" t="s">
        <v>35</v>
      </c>
      <c r="AT44" s="7">
        <v>1000</v>
      </c>
      <c r="AU44" s="7">
        <v>0.95</v>
      </c>
      <c r="AV44" s="7">
        <v>33</v>
      </c>
      <c r="AW44" s="7">
        <v>0.15</v>
      </c>
      <c r="AX44" s="11">
        <v>6.4855</v>
      </c>
      <c r="AY44" s="7">
        <v>0.38912999999999998</v>
      </c>
      <c r="AZ44" s="7">
        <v>0.52105000000000001</v>
      </c>
      <c r="BA44" s="7">
        <v>1.7194650000000002E-2</v>
      </c>
    </row>
    <row r="45" spans="1:53" s="7" customFormat="1" x14ac:dyDescent="0.25">
      <c r="A45" s="7" t="s">
        <v>348</v>
      </c>
      <c r="C45" s="8" t="s">
        <v>349</v>
      </c>
      <c r="D45" s="8" t="s">
        <v>350</v>
      </c>
      <c r="E45" s="7">
        <v>7.31</v>
      </c>
      <c r="F45" s="7">
        <v>55.4</v>
      </c>
      <c r="G45" s="7">
        <v>6.1403838940414479</v>
      </c>
      <c r="H45" s="7">
        <v>46.24987850388225</v>
      </c>
      <c r="I45" s="9" t="s">
        <v>4</v>
      </c>
      <c r="J45" s="7">
        <v>110</v>
      </c>
      <c r="K45" s="7">
        <v>48</v>
      </c>
      <c r="L45" s="18">
        <f>50%</f>
        <v>0.5</v>
      </c>
      <c r="M45" s="7">
        <v>11.9946</v>
      </c>
      <c r="N45" s="7" t="s">
        <v>16</v>
      </c>
      <c r="O45" s="7">
        <v>3</v>
      </c>
      <c r="P45" s="7">
        <v>4</v>
      </c>
      <c r="T45" s="7" t="s">
        <v>330</v>
      </c>
      <c r="U45" s="7">
        <v>21</v>
      </c>
      <c r="W45" s="7">
        <v>7.0000000000000007E-2</v>
      </c>
      <c r="Y45" s="7">
        <f>W45</f>
        <v>7.0000000000000007E-2</v>
      </c>
      <c r="Z45" s="7" t="s">
        <v>351</v>
      </c>
      <c r="AA45" s="7">
        <v>51</v>
      </c>
      <c r="AB45" s="7">
        <v>6</v>
      </c>
      <c r="AC45" s="7">
        <v>0.03</v>
      </c>
      <c r="AD45" s="7" t="s">
        <v>331</v>
      </c>
      <c r="AE45" s="7" t="s">
        <v>332</v>
      </c>
      <c r="AG45" s="7" t="s">
        <v>333</v>
      </c>
      <c r="AH45" s="7" t="s">
        <v>334</v>
      </c>
      <c r="AI45" s="7" t="s">
        <v>158</v>
      </c>
      <c r="AJ45" s="7">
        <v>1</v>
      </c>
      <c r="AK45" s="7">
        <v>0.99</v>
      </c>
      <c r="AL45" s="7">
        <v>5</v>
      </c>
      <c r="AM45" s="7">
        <v>1.2999999999999999E-2</v>
      </c>
      <c r="AX45" s="11">
        <v>884</v>
      </c>
      <c r="AY45" s="7">
        <v>4.42</v>
      </c>
      <c r="BA45" s="7">
        <v>0</v>
      </c>
    </row>
    <row r="46" spans="1:53" s="7" customFormat="1" ht="18" customHeight="1" x14ac:dyDescent="0.25">
      <c r="A46" s="7" t="s">
        <v>352</v>
      </c>
      <c r="B46" s="7">
        <v>1</v>
      </c>
      <c r="C46" s="8" t="s">
        <v>353</v>
      </c>
      <c r="D46" s="8" t="s">
        <v>354</v>
      </c>
      <c r="E46" s="7">
        <v>7.29</v>
      </c>
      <c r="F46" s="7">
        <v>55</v>
      </c>
      <c r="G46" s="7">
        <v>6.2631766175184156</v>
      </c>
      <c r="H46" s="7">
        <v>47.035437635062628</v>
      </c>
      <c r="I46" s="9" t="s">
        <v>4</v>
      </c>
      <c r="J46" s="7">
        <v>140</v>
      </c>
      <c r="K46" s="7">
        <v>48</v>
      </c>
      <c r="L46" s="10">
        <v>0.2</v>
      </c>
      <c r="M46" s="7">
        <v>22.846900000000002</v>
      </c>
      <c r="N46" s="7" t="s">
        <v>5</v>
      </c>
      <c r="O46" s="7">
        <v>10</v>
      </c>
      <c r="P46" s="7">
        <v>3.5</v>
      </c>
      <c r="T46" s="7" t="s">
        <v>355</v>
      </c>
      <c r="U46" s="7">
        <v>22</v>
      </c>
      <c r="W46" s="7">
        <v>1</v>
      </c>
      <c r="Y46" s="7">
        <f>W46</f>
        <v>1</v>
      </c>
      <c r="Z46" s="7" t="s">
        <v>356</v>
      </c>
      <c r="AA46" s="7">
        <v>54</v>
      </c>
      <c r="AB46" s="7">
        <v>230</v>
      </c>
      <c r="AC46" s="7">
        <v>0.3</v>
      </c>
      <c r="AD46" s="7" t="s">
        <v>357</v>
      </c>
      <c r="AE46" s="7" t="s">
        <v>358</v>
      </c>
      <c r="AF46" s="7" t="s">
        <v>359</v>
      </c>
      <c r="AG46" s="7" t="s">
        <v>360</v>
      </c>
      <c r="AH46" s="7" t="s">
        <v>361</v>
      </c>
      <c r="AI46" s="7" t="s">
        <v>282</v>
      </c>
      <c r="AJ46" s="7">
        <v>1000</v>
      </c>
      <c r="AK46" s="7">
        <v>0.95</v>
      </c>
      <c r="AL46" s="7">
        <v>33</v>
      </c>
      <c r="AM46" s="7">
        <v>0.2</v>
      </c>
      <c r="AX46" s="11">
        <v>2.1499999999999998E-2</v>
      </c>
      <c r="AY46" s="7">
        <v>7.0949999999999995E-4</v>
      </c>
      <c r="BA46" s="7">
        <v>0</v>
      </c>
    </row>
    <row r="47" spans="1:53" s="7" customFormat="1" x14ac:dyDescent="0.25">
      <c r="A47" s="7" t="s">
        <v>362</v>
      </c>
      <c r="B47" s="7" t="s">
        <v>363</v>
      </c>
      <c r="C47" s="8" t="s">
        <v>364</v>
      </c>
      <c r="D47" s="8" t="s">
        <v>365</v>
      </c>
      <c r="E47" s="7">
        <v>7.24</v>
      </c>
      <c r="F47" s="7">
        <v>47.78</v>
      </c>
      <c r="G47" s="7">
        <v>6.85570267742317</v>
      </c>
      <c r="H47" s="7">
        <v>45.43148685422139</v>
      </c>
      <c r="I47" s="9" t="s">
        <v>4</v>
      </c>
      <c r="J47" s="7">
        <v>95</v>
      </c>
      <c r="K47" s="7">
        <v>24</v>
      </c>
      <c r="L47" s="10">
        <v>0.5</v>
      </c>
      <c r="M47" s="7">
        <f>0.145*1000*L47</f>
        <v>72.5</v>
      </c>
      <c r="N47" s="7" t="s">
        <v>16</v>
      </c>
      <c r="O47" s="7">
        <v>3</v>
      </c>
      <c r="P47" s="7">
        <v>10</v>
      </c>
      <c r="Z47" s="7" t="s">
        <v>162</v>
      </c>
      <c r="AA47" s="7">
        <v>45</v>
      </c>
      <c r="AB47" s="7">
        <v>147</v>
      </c>
      <c r="AC47" s="7">
        <v>0.49</v>
      </c>
      <c r="AD47" s="7" t="s">
        <v>366</v>
      </c>
      <c r="AE47" s="7" t="s">
        <v>367</v>
      </c>
      <c r="AF47" s="7" t="s">
        <v>368</v>
      </c>
      <c r="AG47" s="7" t="s">
        <v>369</v>
      </c>
      <c r="AH47" s="7" t="s">
        <v>370</v>
      </c>
      <c r="AI47" s="7" t="s">
        <v>35</v>
      </c>
      <c r="AJ47" s="7">
        <v>25</v>
      </c>
      <c r="AK47" s="7">
        <v>0.99</v>
      </c>
      <c r="AL47" s="7">
        <f>0.05*1000</f>
        <v>50</v>
      </c>
      <c r="AM47" s="7">
        <v>0.16</v>
      </c>
      <c r="AX47" s="11">
        <v>34.51</v>
      </c>
      <c r="AY47" s="7">
        <v>1.7255</v>
      </c>
      <c r="BA47" s="7">
        <v>0</v>
      </c>
    </row>
    <row r="48" spans="1:53" s="7" customFormat="1" x14ac:dyDescent="0.25">
      <c r="A48" s="7" t="s">
        <v>371</v>
      </c>
      <c r="B48" s="7" t="s">
        <v>372</v>
      </c>
      <c r="C48" s="8" t="s">
        <v>373</v>
      </c>
      <c r="D48" s="8" t="s">
        <v>374</v>
      </c>
      <c r="E48" s="7">
        <v>7.14</v>
      </c>
      <c r="F48" s="7">
        <v>56.6</v>
      </c>
      <c r="G48" s="7">
        <v>5.8695495716036667</v>
      </c>
      <c r="H48" s="7">
        <v>46.61531864118831</v>
      </c>
      <c r="I48" s="9" t="s">
        <v>4</v>
      </c>
      <c r="J48" s="7">
        <v>100</v>
      </c>
      <c r="K48" s="7">
        <f>5*24</f>
        <v>120</v>
      </c>
      <c r="L48" s="10">
        <v>0.8</v>
      </c>
      <c r="M48" s="7">
        <v>34.799999999999997</v>
      </c>
      <c r="N48" s="7" t="s">
        <v>338</v>
      </c>
      <c r="O48" s="7">
        <v>1</v>
      </c>
      <c r="P48" s="7">
        <f>4/0.937</f>
        <v>4.2689434364994661</v>
      </c>
      <c r="Q48" s="7" t="s">
        <v>375</v>
      </c>
      <c r="R48" s="7">
        <v>7</v>
      </c>
      <c r="S48" s="7">
        <f>2/1.03</f>
        <v>1.941747572815534</v>
      </c>
      <c r="Z48" s="7" t="s">
        <v>376</v>
      </c>
      <c r="AA48" s="7">
        <v>57</v>
      </c>
      <c r="AB48" s="7">
        <v>102.6</v>
      </c>
      <c r="AC48" s="7">
        <v>0.4</v>
      </c>
      <c r="AD48" s="7" t="s">
        <v>377</v>
      </c>
      <c r="AE48" s="7" t="s">
        <v>378</v>
      </c>
      <c r="AF48" s="7" t="s">
        <v>379</v>
      </c>
      <c r="AG48" s="7" t="s">
        <v>380</v>
      </c>
      <c r="AH48" s="7" t="s">
        <v>381</v>
      </c>
      <c r="AI48" s="7" t="s">
        <v>35</v>
      </c>
      <c r="AJ48" s="7">
        <v>1000</v>
      </c>
      <c r="AK48" s="7">
        <v>0.98</v>
      </c>
      <c r="AL48" s="7">
        <v>31.2</v>
      </c>
      <c r="AM48" s="7">
        <f>0.2</f>
        <v>0.2</v>
      </c>
      <c r="AX48" s="11">
        <v>0.22865000000000002</v>
      </c>
      <c r="AY48" s="7">
        <v>7.1338800000000004E-3</v>
      </c>
      <c r="BA48" s="7">
        <v>0</v>
      </c>
    </row>
    <row r="49" spans="1:53" s="7" customFormat="1" x14ac:dyDescent="0.25">
      <c r="A49" s="7" t="s">
        <v>382</v>
      </c>
      <c r="C49" s="8" t="s">
        <v>383</v>
      </c>
      <c r="D49" s="8" t="s">
        <v>384</v>
      </c>
      <c r="E49" s="7">
        <v>7.14</v>
      </c>
      <c r="F49" s="7">
        <v>55.69</v>
      </c>
      <c r="G49" s="7">
        <v>6.0715178853169656</v>
      </c>
      <c r="H49" s="7">
        <v>47.126966342673853</v>
      </c>
      <c r="I49" s="9" t="s">
        <v>4</v>
      </c>
      <c r="J49" s="7">
        <v>60</v>
      </c>
      <c r="K49" s="7">
        <v>72</v>
      </c>
      <c r="L49" s="18">
        <f>50%</f>
        <v>0.5</v>
      </c>
      <c r="M49" s="22">
        <f>2.28806265*L49</f>
        <v>1.144031325</v>
      </c>
      <c r="N49" s="7" t="s">
        <v>16</v>
      </c>
      <c r="O49" s="7">
        <v>3</v>
      </c>
      <c r="P49" s="7">
        <v>2.4</v>
      </c>
      <c r="Q49" s="7" t="s">
        <v>5</v>
      </c>
      <c r="R49" s="7">
        <v>10</v>
      </c>
      <c r="S49" s="7">
        <v>0.6</v>
      </c>
      <c r="T49" s="7" t="s">
        <v>688</v>
      </c>
      <c r="U49" s="7">
        <v>19</v>
      </c>
      <c r="V49" s="19">
        <v>0.375</v>
      </c>
      <c r="W49" s="7">
        <f>25/1000</f>
        <v>2.5000000000000001E-2</v>
      </c>
      <c r="X49" s="19">
        <f>V49</f>
        <v>0.375</v>
      </c>
      <c r="Y49" s="7">
        <f>W49*X49/Solvent!K20</f>
        <v>2.6041666666666671E-2</v>
      </c>
      <c r="Z49" s="7" t="s">
        <v>6</v>
      </c>
      <c r="AA49" s="7">
        <v>29</v>
      </c>
      <c r="AB49" s="7">
        <v>2.8519999999999999</v>
      </c>
      <c r="AC49" s="7">
        <v>1.18E-2</v>
      </c>
      <c r="AD49" s="7" t="s">
        <v>385</v>
      </c>
      <c r="AG49" s="7" t="s">
        <v>386</v>
      </c>
      <c r="AH49" s="7" t="s">
        <v>387</v>
      </c>
      <c r="AL49" s="7">
        <v>1</v>
      </c>
      <c r="AM49" s="7">
        <v>1.9E-3</v>
      </c>
      <c r="AX49" s="11"/>
      <c r="AY49" s="7">
        <v>0</v>
      </c>
      <c r="BA49" s="7">
        <v>0</v>
      </c>
    </row>
    <row r="50" spans="1:53" s="7" customFormat="1" x14ac:dyDescent="0.25">
      <c r="A50" s="7" t="s">
        <v>388</v>
      </c>
      <c r="B50" s="7" t="s">
        <v>389</v>
      </c>
      <c r="C50" s="8" t="s">
        <v>390</v>
      </c>
      <c r="D50" s="8" t="s">
        <v>391</v>
      </c>
      <c r="E50" s="7">
        <v>7.01</v>
      </c>
      <c r="F50" s="7">
        <v>53.93</v>
      </c>
      <c r="G50" s="7">
        <v>6.0411395094007752</v>
      </c>
      <c r="H50" s="7">
        <v>46.589706941289798</v>
      </c>
      <c r="I50" s="9" t="s">
        <v>4</v>
      </c>
      <c r="J50" s="7">
        <v>85</v>
      </c>
      <c r="K50" s="7">
        <v>48</v>
      </c>
      <c r="L50" s="10">
        <v>0.63</v>
      </c>
      <c r="M50" s="7">
        <v>4.2300000000000004</v>
      </c>
      <c r="N50" s="7" t="s">
        <v>16</v>
      </c>
      <c r="O50" s="7">
        <v>3</v>
      </c>
      <c r="P50" s="7">
        <f>(9/10)*3</f>
        <v>2.7</v>
      </c>
      <c r="Q50" s="7" t="s">
        <v>430</v>
      </c>
      <c r="R50" s="7">
        <v>14</v>
      </c>
      <c r="S50" s="7">
        <f>(1/10)*3</f>
        <v>0.30000000000000004</v>
      </c>
      <c r="Z50" s="7" t="s">
        <v>162</v>
      </c>
      <c r="AA50" s="7">
        <v>45</v>
      </c>
      <c r="AB50" s="7">
        <v>10</v>
      </c>
      <c r="AC50" s="7">
        <f>33.6/1000</f>
        <v>3.3600000000000005E-2</v>
      </c>
      <c r="AD50" s="7" t="s">
        <v>392</v>
      </c>
      <c r="AE50" s="7" t="s">
        <v>393</v>
      </c>
      <c r="AF50" s="7" t="s">
        <v>394</v>
      </c>
      <c r="AG50" s="7" t="s">
        <v>395</v>
      </c>
      <c r="AH50" s="7" t="s">
        <v>396</v>
      </c>
      <c r="AI50" s="7" t="s">
        <v>282</v>
      </c>
      <c r="AJ50" s="7">
        <v>1</v>
      </c>
      <c r="AK50" s="7">
        <v>0.98</v>
      </c>
      <c r="AL50" s="7">
        <v>5</v>
      </c>
      <c r="AM50" s="7">
        <f>10.7/1000</f>
        <v>1.0699999999999999E-2</v>
      </c>
      <c r="AX50" s="11">
        <v>205.54</v>
      </c>
      <c r="AY50" s="7">
        <v>1.0277000000000001</v>
      </c>
      <c r="BA50" s="7">
        <v>0</v>
      </c>
    </row>
    <row r="51" spans="1:53" s="7" customFormat="1" x14ac:dyDescent="0.25">
      <c r="A51" s="7" t="s">
        <v>397</v>
      </c>
      <c r="C51" s="8" t="s">
        <v>398</v>
      </c>
      <c r="D51" s="8" t="s">
        <v>399</v>
      </c>
      <c r="E51" s="7">
        <v>6.97</v>
      </c>
      <c r="F51" s="7">
        <v>50.57</v>
      </c>
      <c r="G51" s="7">
        <v>6.201153362540385</v>
      </c>
      <c r="H51" s="7">
        <v>44.565818252192273</v>
      </c>
      <c r="I51" s="9" t="s">
        <v>4</v>
      </c>
      <c r="J51" s="7">
        <v>70</v>
      </c>
      <c r="K51" s="7">
        <v>24</v>
      </c>
      <c r="L51" s="10">
        <v>0.73</v>
      </c>
      <c r="M51" s="7">
        <v>25</v>
      </c>
      <c r="N51" s="7" t="s">
        <v>16</v>
      </c>
      <c r="O51" s="7">
        <v>3</v>
      </c>
      <c r="P51" s="7">
        <v>1</v>
      </c>
      <c r="Q51" s="7" t="s">
        <v>5</v>
      </c>
      <c r="R51" s="7">
        <v>10</v>
      </c>
      <c r="S51" s="7">
        <v>0.1</v>
      </c>
      <c r="Z51" s="7" t="s">
        <v>22</v>
      </c>
      <c r="AA51" s="7">
        <v>30</v>
      </c>
      <c r="AB51" s="7">
        <v>6</v>
      </c>
      <c r="AC51" s="7">
        <f>0.025</f>
        <v>2.5000000000000001E-2</v>
      </c>
      <c r="AD51" s="7" t="s">
        <v>270</v>
      </c>
      <c r="AG51" s="7" t="s">
        <v>400</v>
      </c>
      <c r="AH51" s="7" t="s">
        <v>401</v>
      </c>
      <c r="AL51" s="7">
        <v>9</v>
      </c>
      <c r="AM51" s="7">
        <v>2.5000000000000001E-2</v>
      </c>
      <c r="AX51" s="11"/>
      <c r="AY51" s="7">
        <v>0</v>
      </c>
      <c r="BA51" s="7">
        <v>0</v>
      </c>
    </row>
    <row r="52" spans="1:53" s="7" customFormat="1" x14ac:dyDescent="0.25">
      <c r="A52" s="7" t="s">
        <v>402</v>
      </c>
      <c r="B52" s="7" t="s">
        <v>403</v>
      </c>
      <c r="C52" s="8" t="s">
        <v>404</v>
      </c>
      <c r="D52" s="8" t="s">
        <v>405</v>
      </c>
      <c r="E52" s="7">
        <v>6.93</v>
      </c>
      <c r="F52" s="7">
        <v>53.53</v>
      </c>
      <c r="G52" s="7">
        <v>6.0019824553812766</v>
      </c>
      <c r="H52" s="7">
        <v>46.227458434244433</v>
      </c>
      <c r="I52" s="9" t="s">
        <v>4</v>
      </c>
      <c r="J52" s="7">
        <v>75</v>
      </c>
      <c r="K52" s="7">
        <v>48</v>
      </c>
      <c r="L52" s="10">
        <v>0.7</v>
      </c>
      <c r="M52" s="7">
        <v>10</v>
      </c>
      <c r="N52" s="7" t="s">
        <v>16</v>
      </c>
      <c r="O52" s="7">
        <v>3</v>
      </c>
      <c r="P52" s="7">
        <v>2</v>
      </c>
      <c r="Q52" s="7" t="s">
        <v>468</v>
      </c>
      <c r="R52" s="7">
        <v>12</v>
      </c>
      <c r="S52" s="7">
        <v>3.2</v>
      </c>
      <c r="T52" s="7" t="s">
        <v>685</v>
      </c>
      <c r="U52" s="7">
        <v>16</v>
      </c>
      <c r="V52" s="10">
        <v>0.7</v>
      </c>
      <c r="W52" s="7">
        <f>400/1000</f>
        <v>0.4</v>
      </c>
      <c r="X52" s="10">
        <f>V52</f>
        <v>0.7</v>
      </c>
      <c r="Y52" s="23">
        <f>W52*X52/Solvent!K17</f>
        <v>0.41176470588235287</v>
      </c>
      <c r="Z52" s="7" t="s">
        <v>22</v>
      </c>
      <c r="AA52" s="7">
        <v>30</v>
      </c>
      <c r="AB52" s="7">
        <v>25</v>
      </c>
      <c r="AC52" s="7">
        <f>0.1</f>
        <v>0.1</v>
      </c>
      <c r="AD52" s="7" t="s">
        <v>406</v>
      </c>
      <c r="AG52" s="7" t="s">
        <v>407</v>
      </c>
      <c r="AH52" s="7" t="s">
        <v>408</v>
      </c>
      <c r="AL52" s="7">
        <f>10.4</f>
        <v>10.4</v>
      </c>
      <c r="AM52" s="7">
        <f>0.025</f>
        <v>2.5000000000000001E-2</v>
      </c>
      <c r="AX52" s="11"/>
      <c r="AY52" s="7">
        <v>0</v>
      </c>
      <c r="BA52" s="7">
        <v>0</v>
      </c>
    </row>
    <row r="53" spans="1:53" s="7" customFormat="1" x14ac:dyDescent="0.25">
      <c r="A53" s="7" t="s">
        <v>409</v>
      </c>
      <c r="C53" s="8" t="s">
        <v>410</v>
      </c>
      <c r="D53" s="8" t="s">
        <v>411</v>
      </c>
      <c r="E53" s="7">
        <v>6.92</v>
      </c>
      <c r="F53" s="7">
        <v>53.35</v>
      </c>
      <c r="G53" s="7">
        <v>5.9969135444106154</v>
      </c>
      <c r="H53" s="7">
        <v>46.189314235372613</v>
      </c>
      <c r="I53" s="9" t="s">
        <v>4</v>
      </c>
      <c r="J53" s="7">
        <v>65</v>
      </c>
      <c r="K53" s="7">
        <v>24</v>
      </c>
      <c r="L53" s="10">
        <v>0.55200000000000005</v>
      </c>
      <c r="M53" s="7">
        <v>6.3</v>
      </c>
      <c r="N53" s="7" t="s">
        <v>16</v>
      </c>
      <c r="O53" s="7">
        <v>3</v>
      </c>
      <c r="P53" s="7">
        <v>0.2</v>
      </c>
      <c r="Q53" s="7" t="s">
        <v>412</v>
      </c>
      <c r="R53" s="7">
        <v>6</v>
      </c>
      <c r="S53" s="7">
        <v>0.2</v>
      </c>
      <c r="T53" s="7" t="s">
        <v>685</v>
      </c>
      <c r="U53" s="7">
        <v>16</v>
      </c>
      <c r="V53" s="7">
        <v>1</v>
      </c>
      <c r="W53" s="7">
        <v>0.06</v>
      </c>
      <c r="X53" s="12">
        <f>V53*63.02/(1.42*1000)</f>
        <v>4.4380281690140848E-2</v>
      </c>
      <c r="Y53" s="7">
        <f>W53*X53/Solvent!K17</f>
        <v>3.9159072079536037E-3</v>
      </c>
      <c r="Z53" s="7" t="s">
        <v>22</v>
      </c>
      <c r="AA53" s="7">
        <v>30</v>
      </c>
      <c r="AB53" s="7">
        <v>15</v>
      </c>
      <c r="AC53" s="7">
        <f>0.06</f>
        <v>0.06</v>
      </c>
      <c r="AD53" s="7" t="s">
        <v>413</v>
      </c>
      <c r="AE53" s="7" t="s">
        <v>414</v>
      </c>
      <c r="AF53" s="7" t="s">
        <v>415</v>
      </c>
      <c r="AG53" s="7" t="s">
        <v>416</v>
      </c>
      <c r="AH53" s="7" t="s">
        <v>417</v>
      </c>
      <c r="AI53" s="7" t="s">
        <v>35</v>
      </c>
      <c r="AJ53" s="7">
        <v>5</v>
      </c>
      <c r="AK53" s="7">
        <v>0.98</v>
      </c>
      <c r="AL53" s="7">
        <v>5</v>
      </c>
      <c r="AM53" s="7">
        <f>0.014</f>
        <v>1.4E-2</v>
      </c>
      <c r="AX53" s="11">
        <v>103.19</v>
      </c>
      <c r="AY53" s="7">
        <v>0.51595000000000002</v>
      </c>
      <c r="BA53" s="7">
        <v>0</v>
      </c>
    </row>
    <row r="54" spans="1:53" s="7" customFormat="1" x14ac:dyDescent="0.25">
      <c r="A54" s="7" t="s">
        <v>418</v>
      </c>
      <c r="B54" s="7" t="s">
        <v>419</v>
      </c>
      <c r="C54" s="8" t="s">
        <v>420</v>
      </c>
      <c r="D54" s="8" t="s">
        <v>421</v>
      </c>
      <c r="E54" s="7">
        <v>6.92</v>
      </c>
      <c r="F54" s="7">
        <v>53.11</v>
      </c>
      <c r="G54" s="7">
        <v>6.0033229084780002</v>
      </c>
      <c r="H54" s="7">
        <v>45.997959398767662</v>
      </c>
      <c r="I54" s="9" t="s">
        <v>4</v>
      </c>
      <c r="J54" s="7">
        <v>85</v>
      </c>
      <c r="K54" s="7">
        <v>18</v>
      </c>
      <c r="L54" s="10">
        <v>0.87</v>
      </c>
      <c r="M54" s="7">
        <f>0.18*1000</f>
        <v>180</v>
      </c>
      <c r="N54" s="7" t="s">
        <v>16</v>
      </c>
      <c r="O54" s="7">
        <v>3</v>
      </c>
      <c r="P54" s="7">
        <v>50</v>
      </c>
      <c r="Q54" s="7" t="s">
        <v>5</v>
      </c>
      <c r="R54" s="7">
        <v>10</v>
      </c>
      <c r="S54" s="7">
        <v>10</v>
      </c>
      <c r="T54" s="7" t="s">
        <v>75</v>
      </c>
      <c r="U54" s="7">
        <v>19</v>
      </c>
      <c r="V54" s="7">
        <v>2</v>
      </c>
      <c r="W54" s="7">
        <f>0.3</f>
        <v>0.3</v>
      </c>
      <c r="X54" s="12">
        <f>V54*36.46/(1.18*1000)</f>
        <v>6.1796610169491527E-2</v>
      </c>
      <c r="Y54" s="7">
        <f>W54*X54/Solvent!K20</f>
        <v>5.149717514124294E-2</v>
      </c>
      <c r="Z54" s="7" t="s">
        <v>22</v>
      </c>
      <c r="AA54" s="7">
        <v>30</v>
      </c>
      <c r="AB54" s="7">
        <f>0.19*1000</f>
        <v>190</v>
      </c>
      <c r="AC54" s="7">
        <f>0.78</f>
        <v>0.78</v>
      </c>
      <c r="AD54" s="7" t="s">
        <v>422</v>
      </c>
      <c r="AE54" s="7" t="s">
        <v>423</v>
      </c>
      <c r="AF54" s="7" t="s">
        <v>424</v>
      </c>
      <c r="AG54" s="7" t="s">
        <v>425</v>
      </c>
      <c r="AH54" s="7" t="s">
        <v>426</v>
      </c>
      <c r="AI54" s="7" t="s">
        <v>35</v>
      </c>
      <c r="AJ54" s="7">
        <v>5</v>
      </c>
      <c r="AK54" s="7">
        <v>0.98</v>
      </c>
      <c r="AL54" s="7">
        <f>0.1*1000</f>
        <v>100</v>
      </c>
      <c r="AM54" s="7">
        <f>0.13</f>
        <v>0.13</v>
      </c>
      <c r="AX54" s="11">
        <v>87.38</v>
      </c>
      <c r="AY54" s="7">
        <v>8.7379999999999995</v>
      </c>
      <c r="BA54" s="7">
        <v>0</v>
      </c>
    </row>
    <row r="55" spans="1:53" s="7" customFormat="1" x14ac:dyDescent="0.25">
      <c r="A55" s="7" t="s">
        <v>427</v>
      </c>
      <c r="B55" s="7">
        <v>1</v>
      </c>
      <c r="C55" s="8" t="s">
        <v>428</v>
      </c>
      <c r="D55" s="8" t="s">
        <v>429</v>
      </c>
      <c r="E55" s="7">
        <v>6.91</v>
      </c>
      <c r="F55" s="7">
        <v>55.06</v>
      </c>
      <c r="G55" s="7">
        <v>5.9639724287895426</v>
      </c>
      <c r="H55" s="7">
        <v>47.079912737906959</v>
      </c>
      <c r="I55" s="9" t="s">
        <v>4</v>
      </c>
      <c r="J55" s="7">
        <v>120</v>
      </c>
      <c r="K55" s="7">
        <v>48</v>
      </c>
      <c r="L55" s="10">
        <v>0.72</v>
      </c>
      <c r="M55" s="7">
        <v>52.3</v>
      </c>
      <c r="N55" s="7" t="s">
        <v>16</v>
      </c>
      <c r="O55" s="7">
        <v>3</v>
      </c>
      <c r="P55" s="7">
        <f>(4/5)*5</f>
        <v>4</v>
      </c>
      <c r="Q55" s="7" t="s">
        <v>430</v>
      </c>
      <c r="R55" s="7">
        <v>15</v>
      </c>
      <c r="S55" s="7">
        <f>(1/5)*5</f>
        <v>1</v>
      </c>
      <c r="Z55" s="7" t="s">
        <v>162</v>
      </c>
      <c r="AA55" s="7">
        <v>45</v>
      </c>
      <c r="AB55" s="7">
        <v>119</v>
      </c>
      <c r="AC55" s="7">
        <f>0.4</f>
        <v>0.4</v>
      </c>
      <c r="AD55" s="7" t="s">
        <v>431</v>
      </c>
      <c r="AE55" s="7" t="s">
        <v>432</v>
      </c>
      <c r="AF55" s="7" t="s">
        <v>433</v>
      </c>
      <c r="AG55" s="7" t="s">
        <v>434</v>
      </c>
      <c r="AH55" s="7" t="s">
        <v>435</v>
      </c>
      <c r="AI55" s="7" t="s">
        <v>35</v>
      </c>
      <c r="AJ55" s="7">
        <v>1000</v>
      </c>
      <c r="AK55" s="7">
        <v>0.97</v>
      </c>
      <c r="AL55" s="7">
        <v>52</v>
      </c>
      <c r="AM55" s="7">
        <v>0.3</v>
      </c>
      <c r="AX55" s="11">
        <v>0.11645000000000001</v>
      </c>
      <c r="AY55" s="7">
        <v>6.0554000000000007E-3</v>
      </c>
      <c r="BA55" s="7">
        <v>0</v>
      </c>
    </row>
    <row r="56" spans="1:53" s="7" customFormat="1" x14ac:dyDescent="0.25">
      <c r="A56" s="7" t="s">
        <v>436</v>
      </c>
      <c r="B56" s="7" t="s">
        <v>437</v>
      </c>
      <c r="C56" s="8" t="s">
        <v>438</v>
      </c>
      <c r="D56" s="8" t="s">
        <v>439</v>
      </c>
      <c r="E56" s="7">
        <v>6.9</v>
      </c>
      <c r="F56" s="7">
        <v>51.71</v>
      </c>
      <c r="G56" s="7">
        <v>5.9442946647095063</v>
      </c>
      <c r="H56" s="7">
        <v>44.738703490236652</v>
      </c>
      <c r="I56" s="9" t="s">
        <v>4</v>
      </c>
      <c r="J56" s="7">
        <v>60</v>
      </c>
      <c r="K56" s="7">
        <v>48</v>
      </c>
      <c r="L56" s="10">
        <v>0.5</v>
      </c>
      <c r="M56" s="7">
        <f>9.88*L56</f>
        <v>4.9400000000000004</v>
      </c>
      <c r="N56" s="7" t="s">
        <v>16</v>
      </c>
      <c r="O56" s="7">
        <v>3</v>
      </c>
      <c r="P56" s="7">
        <f>(5/6)*2.4</f>
        <v>2</v>
      </c>
      <c r="Q56" s="7" t="s">
        <v>5</v>
      </c>
      <c r="R56" s="7">
        <v>10</v>
      </c>
      <c r="S56" s="7">
        <f>(1/6)*2.4</f>
        <v>0.39999999999999997</v>
      </c>
      <c r="T56" s="7" t="s">
        <v>688</v>
      </c>
      <c r="U56" s="7">
        <v>19</v>
      </c>
      <c r="V56" s="19">
        <v>0.375</v>
      </c>
      <c r="W56" s="7">
        <f>10/1000</f>
        <v>0.01</v>
      </c>
      <c r="X56" s="19">
        <f>V56</f>
        <v>0.375</v>
      </c>
      <c r="Y56" s="7">
        <f>W56*X56/Solvent!K20</f>
        <v>1.0416666666666666E-2</v>
      </c>
      <c r="Z56" s="7" t="s">
        <v>143</v>
      </c>
      <c r="AA56" s="7">
        <v>34</v>
      </c>
      <c r="AB56" s="7">
        <v>10</v>
      </c>
      <c r="AC56" s="7">
        <f>0.0587</f>
        <v>5.8700000000000002E-2</v>
      </c>
      <c r="AD56" s="7" t="s">
        <v>392</v>
      </c>
      <c r="AE56" s="7" t="s">
        <v>440</v>
      </c>
      <c r="AF56" s="7" t="s">
        <v>441</v>
      </c>
      <c r="AG56" s="7" t="s">
        <v>442</v>
      </c>
      <c r="AH56" s="7" t="s">
        <v>443</v>
      </c>
      <c r="AI56" s="7" t="s">
        <v>35</v>
      </c>
      <c r="AJ56" s="7">
        <v>5</v>
      </c>
      <c r="AK56" s="7">
        <v>0.98</v>
      </c>
      <c r="AL56" s="7">
        <v>5</v>
      </c>
      <c r="AM56" s="7">
        <f>0.0079</f>
        <v>7.9000000000000008E-3</v>
      </c>
      <c r="AX56" s="11">
        <v>80.75</v>
      </c>
      <c r="AY56" s="7">
        <v>0.40375</v>
      </c>
      <c r="BA56" s="7">
        <v>0</v>
      </c>
    </row>
    <row r="57" spans="1:53" s="7" customFormat="1" x14ac:dyDescent="0.25">
      <c r="A57" s="7" t="s">
        <v>444</v>
      </c>
      <c r="B57" s="7">
        <v>1</v>
      </c>
      <c r="C57" s="8" t="s">
        <v>445</v>
      </c>
      <c r="D57" s="8" t="s">
        <v>446</v>
      </c>
      <c r="E57" s="7">
        <v>6.83</v>
      </c>
      <c r="F57" s="7">
        <v>49.18</v>
      </c>
      <c r="G57" s="7">
        <v>6.050426193091778</v>
      </c>
      <c r="H57" s="7">
        <v>43.405018807418351</v>
      </c>
      <c r="I57" s="9" t="s">
        <v>4</v>
      </c>
      <c r="J57" s="7">
        <v>115</v>
      </c>
      <c r="K57" s="7">
        <f>24*3</f>
        <v>72</v>
      </c>
      <c r="L57" s="10">
        <v>0.65</v>
      </c>
      <c r="M57" s="7">
        <v>123</v>
      </c>
      <c r="N57" s="7" t="s">
        <v>16</v>
      </c>
      <c r="O57" s="7">
        <v>3</v>
      </c>
      <c r="P57" s="7">
        <v>5</v>
      </c>
      <c r="Z57" s="7" t="s">
        <v>447</v>
      </c>
      <c r="AA57" s="7">
        <v>44</v>
      </c>
      <c r="AB57" s="7">
        <v>59.5</v>
      </c>
      <c r="AC57" s="7">
        <v>0.2</v>
      </c>
      <c r="AD57" s="7" t="s">
        <v>448</v>
      </c>
      <c r="AE57" s="7" t="s">
        <v>449</v>
      </c>
      <c r="AF57" s="7" t="s">
        <v>450</v>
      </c>
      <c r="AG57" s="7" t="s">
        <v>451</v>
      </c>
      <c r="AH57" s="7" t="s">
        <v>452</v>
      </c>
      <c r="AI57" s="7" t="s">
        <v>453</v>
      </c>
      <c r="AJ57" s="7">
        <v>25</v>
      </c>
      <c r="AK57" s="7">
        <v>0.95</v>
      </c>
      <c r="AL57" s="7">
        <v>54</v>
      </c>
      <c r="AM57" s="7">
        <v>0.2</v>
      </c>
      <c r="AN57" s="7" t="s">
        <v>82</v>
      </c>
      <c r="AP57" s="7" t="s">
        <v>454</v>
      </c>
      <c r="AQ57" s="7" t="s">
        <v>455</v>
      </c>
      <c r="AR57" s="7" t="s">
        <v>456</v>
      </c>
      <c r="AS57" s="7" t="s">
        <v>297</v>
      </c>
      <c r="AT57" s="7">
        <v>0.01</v>
      </c>
      <c r="AU57" s="7">
        <v>0.9</v>
      </c>
      <c r="AV57" s="7">
        <v>85.3</v>
      </c>
      <c r="AW57" s="7">
        <v>0.2</v>
      </c>
      <c r="AX57" s="11">
        <v>10.166</v>
      </c>
      <c r="AY57" s="7">
        <v>0.54896400000000001</v>
      </c>
      <c r="AZ57" s="7">
        <f>15222/10000</f>
        <v>1.5222</v>
      </c>
      <c r="BA57" s="7">
        <f>AZ57*AV57/1000</f>
        <v>0.12984366</v>
      </c>
    </row>
    <row r="58" spans="1:53" s="7" customFormat="1" x14ac:dyDescent="0.25">
      <c r="A58" s="7" t="s">
        <v>457</v>
      </c>
      <c r="B58" s="7" t="s">
        <v>458</v>
      </c>
      <c r="C58" s="8" t="s">
        <v>459</v>
      </c>
      <c r="D58" s="8" t="s">
        <v>460</v>
      </c>
      <c r="E58" s="7">
        <v>6.69</v>
      </c>
      <c r="F58" s="7">
        <v>53.04</v>
      </c>
      <c r="G58" s="7">
        <v>5.7672723575302998</v>
      </c>
      <c r="H58" s="7">
        <v>45.597349458205571</v>
      </c>
      <c r="I58" s="9" t="s">
        <v>4</v>
      </c>
      <c r="J58" s="7">
        <v>60</v>
      </c>
      <c r="K58" s="7">
        <v>72</v>
      </c>
      <c r="L58" s="18">
        <f>50%</f>
        <v>0.5</v>
      </c>
      <c r="M58" s="7">
        <f>1.34*L58</f>
        <v>0.67</v>
      </c>
      <c r="N58" s="7" t="s">
        <v>16</v>
      </c>
      <c r="O58" s="7">
        <v>3</v>
      </c>
      <c r="P58" s="7">
        <v>2.7</v>
      </c>
      <c r="Q58" s="7" t="s">
        <v>5</v>
      </c>
      <c r="R58" s="7">
        <v>10</v>
      </c>
      <c r="S58" s="7">
        <v>0.3</v>
      </c>
      <c r="T58" s="7" t="s">
        <v>685</v>
      </c>
      <c r="U58" s="7">
        <v>16</v>
      </c>
      <c r="V58" s="10">
        <v>0.69</v>
      </c>
      <c r="W58" s="7">
        <f>60/1000</f>
        <v>0.06</v>
      </c>
      <c r="X58" s="10">
        <f>V58</f>
        <v>0.69</v>
      </c>
      <c r="Y58" s="7">
        <f>W58*X58/Solvent!K17</f>
        <v>6.0882352941176457E-2</v>
      </c>
      <c r="Z58" s="7" t="s">
        <v>6</v>
      </c>
      <c r="AA58" s="7">
        <v>29</v>
      </c>
      <c r="AB58" s="7">
        <v>1.9490000000000001</v>
      </c>
      <c r="AC58" s="7">
        <f>0.008</f>
        <v>8.0000000000000002E-3</v>
      </c>
      <c r="AD58" s="7" t="s">
        <v>461</v>
      </c>
      <c r="AG58" s="7" t="s">
        <v>462</v>
      </c>
      <c r="AH58" s="7" t="s">
        <v>463</v>
      </c>
      <c r="AL58" s="7">
        <v>1.02</v>
      </c>
      <c r="AM58" s="7">
        <f>0.002</f>
        <v>2E-3</v>
      </c>
      <c r="AX58" s="11"/>
      <c r="AY58" s="7">
        <v>0</v>
      </c>
      <c r="BA58" s="7">
        <v>0</v>
      </c>
    </row>
    <row r="59" spans="1:53" s="7" customFormat="1" x14ac:dyDescent="0.25">
      <c r="A59" s="7" t="s">
        <v>464</v>
      </c>
      <c r="B59" s="7" t="s">
        <v>465</v>
      </c>
      <c r="C59" s="8" t="s">
        <v>466</v>
      </c>
      <c r="D59" s="8" t="s">
        <v>467</v>
      </c>
      <c r="E59" s="7">
        <v>6.66</v>
      </c>
      <c r="F59" s="7">
        <v>54.4</v>
      </c>
      <c r="G59" s="7">
        <v>5.6778321155315394</v>
      </c>
      <c r="H59" s="7">
        <v>46.062844168401377</v>
      </c>
      <c r="I59" s="9" t="s">
        <v>4</v>
      </c>
      <c r="J59" s="7">
        <v>80</v>
      </c>
      <c r="K59" s="7">
        <v>24</v>
      </c>
      <c r="L59" s="10">
        <v>0.62</v>
      </c>
      <c r="M59" s="7">
        <v>7.75</v>
      </c>
      <c r="N59" s="7" t="s">
        <v>16</v>
      </c>
      <c r="O59" s="7">
        <v>3</v>
      </c>
      <c r="P59" s="7">
        <v>1.5</v>
      </c>
      <c r="Q59" s="7" t="s">
        <v>468</v>
      </c>
      <c r="R59" s="7">
        <v>12</v>
      </c>
      <c r="S59" s="7">
        <v>0.5</v>
      </c>
      <c r="T59" s="7" t="s">
        <v>688</v>
      </c>
      <c r="U59" s="7">
        <v>19</v>
      </c>
      <c r="V59" s="7">
        <v>6</v>
      </c>
      <c r="W59" s="7">
        <f>50/1000</f>
        <v>0.05</v>
      </c>
      <c r="X59" s="12">
        <f>V59*36.46/(1.18*1000)</f>
        <v>0.18538983050847457</v>
      </c>
      <c r="Y59" s="7">
        <f>W59*X59/Solvent!K20</f>
        <v>2.574858757062147E-2</v>
      </c>
      <c r="Z59" s="7" t="s">
        <v>22</v>
      </c>
      <c r="AA59" s="7">
        <v>30</v>
      </c>
      <c r="AB59" s="7">
        <v>15</v>
      </c>
      <c r="AC59" s="7">
        <f>62.1/1000</f>
        <v>6.2100000000000002E-2</v>
      </c>
      <c r="AD59" s="7" t="s">
        <v>469</v>
      </c>
      <c r="AE59" s="7" t="s">
        <v>470</v>
      </c>
      <c r="AG59" s="7" t="s">
        <v>471</v>
      </c>
      <c r="AH59" s="7" t="s">
        <v>472</v>
      </c>
      <c r="AI59" s="7" t="s">
        <v>473</v>
      </c>
      <c r="AJ59" s="7">
        <v>5</v>
      </c>
      <c r="AK59" s="7">
        <v>0.99</v>
      </c>
      <c r="AL59" s="7">
        <v>5</v>
      </c>
      <c r="AM59" s="7">
        <f>12.2/1000</f>
        <v>1.2199999999999999E-2</v>
      </c>
      <c r="AX59" s="11">
        <v>361.59</v>
      </c>
      <c r="AY59" s="7">
        <v>1.8079499999999999</v>
      </c>
      <c r="BA59" s="7">
        <v>0</v>
      </c>
    </row>
    <row r="60" spans="1:53" s="7" customFormat="1" x14ac:dyDescent="0.25">
      <c r="A60" s="7" t="s">
        <v>474</v>
      </c>
      <c r="C60" s="8" t="s">
        <v>475</v>
      </c>
      <c r="D60" s="8" t="s">
        <v>476</v>
      </c>
      <c r="E60" s="7">
        <v>6.65</v>
      </c>
      <c r="F60" s="7">
        <v>53.74</v>
      </c>
      <c r="G60" s="7">
        <v>5.7270699113076509</v>
      </c>
      <c r="H60" s="7">
        <v>44.72575167185061</v>
      </c>
      <c r="I60" s="9" t="s">
        <v>4</v>
      </c>
      <c r="J60" s="7">
        <v>70</v>
      </c>
      <c r="K60" s="7">
        <v>48</v>
      </c>
      <c r="L60" s="10">
        <v>0.75</v>
      </c>
      <c r="M60" s="7">
        <v>6.8</v>
      </c>
      <c r="N60" s="7" t="s">
        <v>16</v>
      </c>
      <c r="O60" s="7">
        <v>3</v>
      </c>
      <c r="P60" s="7">
        <f>(4/5)*3</f>
        <v>2.4000000000000004</v>
      </c>
      <c r="Q60" s="7" t="s">
        <v>5</v>
      </c>
      <c r="R60" s="7">
        <v>10</v>
      </c>
      <c r="S60" s="7">
        <f>(1/5)*3</f>
        <v>0.60000000000000009</v>
      </c>
      <c r="T60" s="7" t="s">
        <v>685</v>
      </c>
      <c r="U60" s="7">
        <v>16</v>
      </c>
      <c r="V60" s="7">
        <v>1</v>
      </c>
      <c r="W60" s="7">
        <f>150/1000</f>
        <v>0.15</v>
      </c>
      <c r="X60" s="12">
        <f>V60*63.02/(1.42*1000)</f>
        <v>4.4380281690140848E-2</v>
      </c>
      <c r="Y60" s="7">
        <f>W60*X60/Solvent!K17</f>
        <v>9.7897680198840101E-3</v>
      </c>
      <c r="Z60" s="7" t="s">
        <v>6</v>
      </c>
      <c r="AA60" s="7">
        <v>29</v>
      </c>
      <c r="AB60" s="7">
        <v>8.5</v>
      </c>
      <c r="AC60" s="7">
        <f>0.0352</f>
        <v>3.5200000000000002E-2</v>
      </c>
      <c r="AD60" s="7" t="s">
        <v>477</v>
      </c>
      <c r="AE60" s="7" t="s">
        <v>478</v>
      </c>
      <c r="AF60" s="7" t="s">
        <v>479</v>
      </c>
      <c r="AG60" s="7" t="s">
        <v>480</v>
      </c>
      <c r="AH60" s="7" t="s">
        <v>481</v>
      </c>
      <c r="AI60" s="7" t="s">
        <v>35</v>
      </c>
      <c r="AJ60" s="7">
        <v>5</v>
      </c>
      <c r="AK60" s="7">
        <v>0.98</v>
      </c>
      <c r="AL60" s="7">
        <v>4</v>
      </c>
      <c r="AM60" s="7">
        <v>8.8000000000000005E-3</v>
      </c>
      <c r="AX60" s="11">
        <v>61.879999999999995</v>
      </c>
      <c r="AY60" s="7">
        <v>0.24751999999999999</v>
      </c>
      <c r="BA60" s="7">
        <v>0</v>
      </c>
    </row>
    <row r="61" spans="1:53" s="7" customFormat="1" x14ac:dyDescent="0.25">
      <c r="A61" s="7" t="s">
        <v>482</v>
      </c>
      <c r="B61" s="7" t="s">
        <v>483</v>
      </c>
      <c r="C61" s="8" t="s">
        <v>484</v>
      </c>
      <c r="D61" s="8" t="s">
        <v>485</v>
      </c>
      <c r="E61" s="7">
        <v>6.65</v>
      </c>
      <c r="F61" s="7">
        <v>52.36</v>
      </c>
      <c r="G61" s="7">
        <v>5.7057832552837864</v>
      </c>
      <c r="H61" s="7">
        <v>45.689613865310129</v>
      </c>
      <c r="I61" s="9" t="s">
        <v>4</v>
      </c>
      <c r="J61" s="7">
        <v>85</v>
      </c>
      <c r="K61" s="7">
        <f>5*24</f>
        <v>120</v>
      </c>
      <c r="L61" s="10">
        <v>0.68</v>
      </c>
      <c r="M61" s="7">
        <v>32.15</v>
      </c>
      <c r="N61" s="7" t="s">
        <v>16</v>
      </c>
      <c r="O61" s="7">
        <v>3</v>
      </c>
      <c r="P61" s="7">
        <v>7</v>
      </c>
      <c r="Q61" s="7" t="s">
        <v>468</v>
      </c>
      <c r="R61" s="7">
        <v>12</v>
      </c>
      <c r="S61" s="7">
        <v>7</v>
      </c>
      <c r="T61" s="7" t="s">
        <v>688</v>
      </c>
      <c r="U61" s="7">
        <v>19</v>
      </c>
      <c r="V61" s="10">
        <v>0.37</v>
      </c>
      <c r="W61" s="7">
        <v>0.5</v>
      </c>
      <c r="X61" s="10">
        <f>V61</f>
        <v>0.37</v>
      </c>
      <c r="Y61" s="7">
        <f>W61*X61/Solvent!K20</f>
        <v>0.51388888888888895</v>
      </c>
      <c r="Z61" s="7" t="s">
        <v>486</v>
      </c>
      <c r="AA61" s="7">
        <v>28</v>
      </c>
      <c r="AB61" s="7">
        <f>0.022*1000</f>
        <v>22</v>
      </c>
      <c r="AC61" s="7">
        <f>0.12</f>
        <v>0.12</v>
      </c>
      <c r="AD61" s="7" t="s">
        <v>392</v>
      </c>
      <c r="AE61" s="7" t="s">
        <v>487</v>
      </c>
      <c r="AF61" s="7" t="s">
        <v>488</v>
      </c>
      <c r="AG61" s="7" t="s">
        <v>489</v>
      </c>
      <c r="AH61" s="7" t="s">
        <v>490</v>
      </c>
      <c r="AI61" s="7" t="s">
        <v>282</v>
      </c>
      <c r="AJ61" s="7">
        <v>1</v>
      </c>
      <c r="AK61" s="7">
        <v>0.98</v>
      </c>
      <c r="AL61" s="7">
        <f>0.016*1000</f>
        <v>16</v>
      </c>
      <c r="AM61" s="7">
        <f>0.04</f>
        <v>0.04</v>
      </c>
      <c r="AX61" s="11">
        <v>229.62</v>
      </c>
      <c r="AY61" s="7">
        <v>3.6739200000000003</v>
      </c>
      <c r="BA61" s="7">
        <v>0</v>
      </c>
    </row>
    <row r="62" spans="1:53" s="7" customFormat="1" x14ac:dyDescent="0.25">
      <c r="A62" s="7" t="s">
        <v>491</v>
      </c>
      <c r="B62" s="7" t="s">
        <v>492</v>
      </c>
      <c r="C62" s="8" t="s">
        <v>373</v>
      </c>
      <c r="D62" s="8" t="s">
        <v>493</v>
      </c>
      <c r="E62" s="7">
        <v>6.64</v>
      </c>
      <c r="F62" s="7">
        <v>52.91</v>
      </c>
      <c r="G62" s="7">
        <v>5.5092724715172352</v>
      </c>
      <c r="H62" s="7">
        <v>43.442093723107767</v>
      </c>
      <c r="I62" s="9" t="s">
        <v>4</v>
      </c>
      <c r="J62" s="7">
        <v>120</v>
      </c>
      <c r="K62" s="7">
        <f>5*24</f>
        <v>120</v>
      </c>
      <c r="L62" s="10">
        <v>0.85</v>
      </c>
      <c r="M62" s="7">
        <v>46.57</v>
      </c>
      <c r="N62" s="7" t="s">
        <v>494</v>
      </c>
      <c r="O62" s="7">
        <v>0</v>
      </c>
      <c r="P62" s="7">
        <f>2/0.906</f>
        <v>2.2075055187637966</v>
      </c>
      <c r="Q62" s="7" t="s">
        <v>468</v>
      </c>
      <c r="R62" s="7">
        <v>12</v>
      </c>
      <c r="S62" s="7">
        <f>1/0.789</f>
        <v>1.2674271229404308</v>
      </c>
      <c r="Z62" s="7" t="s">
        <v>376</v>
      </c>
      <c r="AA62" s="7">
        <v>57</v>
      </c>
      <c r="AB62" s="7">
        <v>51.3</v>
      </c>
      <c r="AD62" s="7" t="s">
        <v>357</v>
      </c>
      <c r="AE62" s="7" t="s">
        <v>358</v>
      </c>
      <c r="AF62" s="7" t="s">
        <v>359</v>
      </c>
      <c r="AG62" s="7" t="s">
        <v>360</v>
      </c>
      <c r="AH62" s="7" t="s">
        <v>361</v>
      </c>
      <c r="AI62" s="7" t="s">
        <v>282</v>
      </c>
      <c r="AJ62" s="7">
        <v>1000</v>
      </c>
      <c r="AK62" s="7">
        <v>0.95</v>
      </c>
      <c r="AL62" s="7">
        <v>33.200000000000003</v>
      </c>
      <c r="AX62" s="11">
        <v>2.1499999999999998E-2</v>
      </c>
      <c r="AY62" s="7">
        <v>7.138E-4</v>
      </c>
      <c r="BA62" s="7">
        <v>0</v>
      </c>
    </row>
    <row r="63" spans="1:53" s="7" customFormat="1" x14ac:dyDescent="0.25">
      <c r="A63" s="7" t="s">
        <v>495</v>
      </c>
      <c r="B63" s="7" t="s">
        <v>496</v>
      </c>
      <c r="C63" s="8" t="s">
        <v>497</v>
      </c>
      <c r="D63" s="8" t="s">
        <v>498</v>
      </c>
      <c r="E63" s="7">
        <v>6.63</v>
      </c>
      <c r="F63" s="7">
        <v>50.85</v>
      </c>
      <c r="G63" s="7">
        <v>5.8273908119055839</v>
      </c>
      <c r="H63" s="7">
        <v>44.677085451493497</v>
      </c>
      <c r="I63" s="9" t="s">
        <v>4</v>
      </c>
      <c r="J63" s="7">
        <v>120</v>
      </c>
      <c r="K63" s="7">
        <f>5*24</f>
        <v>120</v>
      </c>
      <c r="L63" s="10">
        <v>0.66</v>
      </c>
      <c r="M63" s="7">
        <v>32.799999999999997</v>
      </c>
      <c r="N63" s="7" t="s">
        <v>338</v>
      </c>
      <c r="O63" s="7">
        <v>1</v>
      </c>
      <c r="P63" s="7">
        <v>5</v>
      </c>
      <c r="Q63" s="7" t="s">
        <v>51</v>
      </c>
      <c r="R63" s="7">
        <v>11</v>
      </c>
      <c r="S63" s="7">
        <v>5</v>
      </c>
      <c r="T63" s="7" t="s">
        <v>687</v>
      </c>
      <c r="U63" s="7">
        <v>18</v>
      </c>
      <c r="V63" s="10">
        <v>0.4</v>
      </c>
      <c r="W63" s="7">
        <f>100/1000</f>
        <v>0.1</v>
      </c>
      <c r="X63" s="10">
        <f>V63</f>
        <v>0.4</v>
      </c>
      <c r="Y63" s="7">
        <f>W63*X63/Solvent!K19</f>
        <v>4.0404040404040414E-2</v>
      </c>
      <c r="Z63" s="7" t="s">
        <v>499</v>
      </c>
      <c r="AA63" s="7">
        <v>43</v>
      </c>
      <c r="AB63" s="7">
        <f>0.029*1000</f>
        <v>29</v>
      </c>
      <c r="AC63" s="7">
        <v>0.10299999999999999</v>
      </c>
      <c r="AD63" s="7" t="s">
        <v>110</v>
      </c>
      <c r="AE63" s="7" t="s">
        <v>31</v>
      </c>
      <c r="AF63" s="7" t="s">
        <v>32</v>
      </c>
      <c r="AG63" s="7" t="s">
        <v>111</v>
      </c>
      <c r="AH63" s="7" t="s">
        <v>112</v>
      </c>
      <c r="AI63" s="7" t="s">
        <v>35</v>
      </c>
      <c r="AJ63" s="7">
        <v>100</v>
      </c>
      <c r="AK63" s="7">
        <v>0.95</v>
      </c>
      <c r="AL63" s="7">
        <f>0.021*1000</f>
        <v>21</v>
      </c>
      <c r="AM63" s="7">
        <v>4.8000000000000001E-2</v>
      </c>
      <c r="AN63" s="7" t="s">
        <v>500</v>
      </c>
      <c r="AO63" s="7" t="s">
        <v>501</v>
      </c>
      <c r="AP63" s="7" t="s">
        <v>502</v>
      </c>
      <c r="AQ63" s="7" t="s">
        <v>503</v>
      </c>
      <c r="AR63" s="7" t="s">
        <v>504</v>
      </c>
      <c r="AS63" s="7" t="s">
        <v>505</v>
      </c>
      <c r="AT63" s="7">
        <v>5</v>
      </c>
      <c r="AU63" s="7">
        <v>0.97</v>
      </c>
      <c r="AV63" s="7">
        <f>0.019*1000</f>
        <v>19</v>
      </c>
      <c r="AW63" s="7">
        <v>6.0999999999999999E-2</v>
      </c>
      <c r="AX63" s="11">
        <v>6.8765000000000001</v>
      </c>
      <c r="AY63" s="7">
        <v>0.14440650000000002</v>
      </c>
      <c r="AZ63" s="7">
        <v>8.5169999999999995</v>
      </c>
      <c r="BA63" s="7">
        <v>0.16182299999999999</v>
      </c>
    </row>
    <row r="64" spans="1:53" s="7" customFormat="1" x14ac:dyDescent="0.25">
      <c r="A64" s="7" t="s">
        <v>506</v>
      </c>
      <c r="C64" s="8" t="s">
        <v>507</v>
      </c>
      <c r="D64" s="8" t="s">
        <v>508</v>
      </c>
      <c r="E64" s="7">
        <v>6.56</v>
      </c>
      <c r="F64" s="7">
        <v>51.31</v>
      </c>
      <c r="G64" s="7">
        <v>5.7637488185936787</v>
      </c>
      <c r="H64" s="7">
        <v>44.918157859299548</v>
      </c>
      <c r="I64" s="9" t="s">
        <v>4</v>
      </c>
      <c r="J64" s="7">
        <v>60</v>
      </c>
      <c r="K64" s="7">
        <v>48</v>
      </c>
      <c r="L64" s="10">
        <v>0.8</v>
      </c>
      <c r="M64" s="7">
        <v>34.472000000000001</v>
      </c>
      <c r="N64" s="7" t="s">
        <v>16</v>
      </c>
      <c r="O64" s="7">
        <v>3</v>
      </c>
      <c r="P64" s="7">
        <v>3</v>
      </c>
      <c r="Q64" s="7" t="s">
        <v>468</v>
      </c>
      <c r="R64" s="7">
        <v>12</v>
      </c>
      <c r="S64" s="7">
        <v>3</v>
      </c>
      <c r="T64" s="7" t="s">
        <v>5</v>
      </c>
      <c r="U64" s="7">
        <v>10</v>
      </c>
      <c r="W64" s="7">
        <v>3</v>
      </c>
      <c r="Y64" s="7">
        <f>W64</f>
        <v>3</v>
      </c>
      <c r="Z64" s="7" t="s">
        <v>6</v>
      </c>
      <c r="AA64" s="7">
        <v>29</v>
      </c>
      <c r="AB64" s="7">
        <f>0.024*1000</f>
        <v>24</v>
      </c>
      <c r="AC64" s="7">
        <v>0.1</v>
      </c>
      <c r="AD64" s="7" t="s">
        <v>509</v>
      </c>
      <c r="AE64" s="7" t="s">
        <v>510</v>
      </c>
      <c r="AF64" s="7" t="s">
        <v>511</v>
      </c>
      <c r="AG64" s="7" t="s">
        <v>512</v>
      </c>
      <c r="AH64" s="7" t="s">
        <v>513</v>
      </c>
      <c r="AI64" s="7" t="s">
        <v>514</v>
      </c>
      <c r="AJ64" s="7">
        <v>5</v>
      </c>
      <c r="AK64" s="7">
        <v>0.95</v>
      </c>
      <c r="AL64" s="7">
        <f>0.024*1000</f>
        <v>24</v>
      </c>
      <c r="AM64" s="7">
        <v>0.1</v>
      </c>
      <c r="AX64" s="11">
        <v>38.589999999999996</v>
      </c>
      <c r="AY64" s="7">
        <v>0.92615999999999998</v>
      </c>
      <c r="BA64" s="7">
        <v>0</v>
      </c>
    </row>
    <row r="65" spans="1:53" s="7" customFormat="1" x14ac:dyDescent="0.25">
      <c r="A65" s="7" t="s">
        <v>515</v>
      </c>
      <c r="C65" s="8" t="s">
        <v>516</v>
      </c>
      <c r="D65" s="8" t="s">
        <v>517</v>
      </c>
      <c r="E65" s="7">
        <v>6.51</v>
      </c>
      <c r="F65" s="7">
        <v>52.05</v>
      </c>
      <c r="G65" s="7">
        <v>5.7006409696448026</v>
      </c>
      <c r="H65" s="7">
        <v>45.689583311729137</v>
      </c>
      <c r="I65" s="9" t="s">
        <v>4</v>
      </c>
      <c r="J65" s="7">
        <v>70</v>
      </c>
      <c r="K65" s="7">
        <f>4*24</f>
        <v>96</v>
      </c>
      <c r="L65" s="18">
        <f>50%</f>
        <v>0.5</v>
      </c>
      <c r="M65" s="7">
        <f>34.25*L65</f>
        <v>17.125</v>
      </c>
      <c r="N65" s="7" t="s">
        <v>16</v>
      </c>
      <c r="O65" s="7">
        <v>3</v>
      </c>
      <c r="P65" s="7">
        <v>1.5</v>
      </c>
      <c r="T65" s="7" t="s">
        <v>688</v>
      </c>
      <c r="U65" s="7">
        <v>19</v>
      </c>
      <c r="V65" s="7">
        <v>6</v>
      </c>
      <c r="W65" s="7">
        <v>0.02</v>
      </c>
      <c r="X65" s="12">
        <f>V65*36.46/(1.18*1000)</f>
        <v>0.18538983050847457</v>
      </c>
      <c r="Y65" s="7">
        <f>W65*X65/Solvent!K20</f>
        <v>1.0299435028248588E-2</v>
      </c>
      <c r="Z65" s="7" t="s">
        <v>6</v>
      </c>
      <c r="AA65" s="7">
        <v>29</v>
      </c>
      <c r="AB65" s="7">
        <v>15</v>
      </c>
      <c r="AC65" s="7">
        <f>64.5/1000</f>
        <v>6.4500000000000002E-2</v>
      </c>
      <c r="AD65" s="7" t="s">
        <v>518</v>
      </c>
      <c r="AE65" s="7" t="s">
        <v>519</v>
      </c>
      <c r="AF65" s="7" t="s">
        <v>520</v>
      </c>
      <c r="AG65" s="7" t="s">
        <v>521</v>
      </c>
      <c r="AH65" s="7" t="s">
        <v>522</v>
      </c>
      <c r="AI65" s="7" t="s">
        <v>523</v>
      </c>
      <c r="AJ65" s="7">
        <v>2500</v>
      </c>
      <c r="AK65" s="7">
        <v>0.95</v>
      </c>
      <c r="AL65" s="7">
        <v>5</v>
      </c>
      <c r="AM65" s="7">
        <f>12.6/1000</f>
        <v>1.26E-2</v>
      </c>
      <c r="AQ65" s="7" t="s">
        <v>524</v>
      </c>
      <c r="AR65" s="7" t="s">
        <v>525</v>
      </c>
      <c r="AX65" s="11">
        <v>1.8200000000000001E-2</v>
      </c>
      <c r="AY65" s="7">
        <v>9.1000000000000003E-5</v>
      </c>
      <c r="BA65" s="7">
        <v>0</v>
      </c>
    </row>
    <row r="66" spans="1:53" s="7" customFormat="1" x14ac:dyDescent="0.25">
      <c r="A66" s="7" t="s">
        <v>526</v>
      </c>
      <c r="C66" s="8" t="s">
        <v>527</v>
      </c>
      <c r="D66" s="8" t="s">
        <v>528</v>
      </c>
      <c r="E66" s="7">
        <v>6.43</v>
      </c>
      <c r="F66" s="7">
        <v>53.83</v>
      </c>
      <c r="G66" s="7">
        <v>5.5294277056407948</v>
      </c>
      <c r="H66" s="7">
        <v>45.809248968928053</v>
      </c>
      <c r="I66" s="9" t="s">
        <v>4</v>
      </c>
      <c r="J66" s="7">
        <v>80</v>
      </c>
      <c r="K66" s="7">
        <v>48</v>
      </c>
      <c r="L66" s="10">
        <v>0.52</v>
      </c>
      <c r="M66" s="7">
        <v>7.84</v>
      </c>
      <c r="N66" s="7" t="s">
        <v>338</v>
      </c>
      <c r="O66" s="7">
        <v>1</v>
      </c>
      <c r="P66" s="7">
        <v>4</v>
      </c>
      <c r="Q66" s="7" t="s">
        <v>5</v>
      </c>
      <c r="R66" s="7">
        <v>10</v>
      </c>
      <c r="S66" s="7">
        <v>4</v>
      </c>
      <c r="T66" s="7" t="s">
        <v>685</v>
      </c>
      <c r="U66" s="7">
        <v>16</v>
      </c>
      <c r="V66" s="7">
        <v>12</v>
      </c>
      <c r="W66" s="7">
        <v>0.5</v>
      </c>
      <c r="X66" s="12">
        <f>V66*63.02/(1.42*1000)</f>
        <v>0.53256338028169015</v>
      </c>
      <c r="Y66" s="7">
        <f>W66*X66/Solvent!K17</f>
        <v>0.39159072079536039</v>
      </c>
      <c r="Z66" s="7" t="s">
        <v>486</v>
      </c>
      <c r="AA66" s="7">
        <v>28</v>
      </c>
      <c r="AB66" s="7">
        <v>11.6</v>
      </c>
      <c r="AC66" s="7">
        <v>0.05</v>
      </c>
      <c r="AD66" s="7" t="s">
        <v>392</v>
      </c>
      <c r="AE66" s="7" t="s">
        <v>529</v>
      </c>
      <c r="AF66" s="7" t="s">
        <v>530</v>
      </c>
      <c r="AG66" s="7" t="s">
        <v>531</v>
      </c>
      <c r="AH66" s="7" t="s">
        <v>532</v>
      </c>
      <c r="AI66" s="7" t="s">
        <v>35</v>
      </c>
      <c r="AJ66" s="7">
        <v>1</v>
      </c>
      <c r="AK66" s="7">
        <v>0.95</v>
      </c>
      <c r="AL66" s="7">
        <v>7.2</v>
      </c>
      <c r="AM66" s="7">
        <v>0.02</v>
      </c>
      <c r="AX66" s="11">
        <v>462.4</v>
      </c>
      <c r="AY66" s="7">
        <v>3.3292799999999998</v>
      </c>
      <c r="BA66" s="7">
        <v>0</v>
      </c>
    </row>
    <row r="67" spans="1:53" s="7" customFormat="1" x14ac:dyDescent="0.25">
      <c r="A67" s="7" t="s">
        <v>533</v>
      </c>
      <c r="C67" s="8" t="s">
        <v>534</v>
      </c>
      <c r="D67" s="8" t="s">
        <v>535</v>
      </c>
      <c r="E67" s="7">
        <v>6.42</v>
      </c>
      <c r="F67" s="7">
        <v>50.4</v>
      </c>
      <c r="G67" s="7">
        <v>5.8297281006456103</v>
      </c>
      <c r="H67" s="7">
        <v>45.367633718757297</v>
      </c>
      <c r="I67" s="9" t="s">
        <v>4</v>
      </c>
      <c r="J67" s="7">
        <v>85</v>
      </c>
      <c r="K67" s="7">
        <v>24</v>
      </c>
      <c r="L67" s="10">
        <v>0.76</v>
      </c>
      <c r="M67" s="7">
        <v>15.6</v>
      </c>
      <c r="N67" s="7" t="s">
        <v>338</v>
      </c>
      <c r="O67" s="7">
        <v>1</v>
      </c>
      <c r="P67" s="7">
        <f>(3/5)*5</f>
        <v>3</v>
      </c>
      <c r="Q67" s="7" t="s">
        <v>468</v>
      </c>
      <c r="R67" s="7">
        <v>12</v>
      </c>
      <c r="S67" s="7">
        <v>2</v>
      </c>
      <c r="T67" s="7" t="s">
        <v>691</v>
      </c>
      <c r="U67" s="7">
        <v>23</v>
      </c>
      <c r="W67" s="7">
        <v>0.2</v>
      </c>
      <c r="Y67" s="7">
        <f>W67</f>
        <v>0.2</v>
      </c>
      <c r="Z67" s="7" t="s">
        <v>536</v>
      </c>
      <c r="AA67" s="7">
        <v>28</v>
      </c>
      <c r="AB67" s="7">
        <f>0.024*1000</f>
        <v>24</v>
      </c>
      <c r="AC67" s="7">
        <v>0.1</v>
      </c>
      <c r="AD67" s="7" t="s">
        <v>537</v>
      </c>
      <c r="AG67" s="7" t="s">
        <v>538</v>
      </c>
      <c r="AH67" s="7" t="s">
        <v>539</v>
      </c>
      <c r="AL67" s="7">
        <f>0.025*1000</f>
        <v>25</v>
      </c>
      <c r="AM67" s="7">
        <v>7.4999999999999997E-2</v>
      </c>
      <c r="AX67" s="11"/>
      <c r="AY67" s="7">
        <v>0</v>
      </c>
      <c r="BA67" s="7">
        <v>0</v>
      </c>
    </row>
    <row r="68" spans="1:53" s="7" customFormat="1" x14ac:dyDescent="0.25">
      <c r="A68" s="7" t="s">
        <v>540</v>
      </c>
      <c r="B68" s="7" t="s">
        <v>541</v>
      </c>
      <c r="C68" s="8" t="s">
        <v>542</v>
      </c>
      <c r="D68" s="8" t="s">
        <v>543</v>
      </c>
      <c r="E68" s="7">
        <v>6.39</v>
      </c>
      <c r="F68" s="7">
        <v>49.54</v>
      </c>
      <c r="G68" s="7">
        <v>5.5522277414657752</v>
      </c>
      <c r="H68" s="7">
        <v>43.329887563204252</v>
      </c>
      <c r="I68" s="9" t="s">
        <v>4</v>
      </c>
      <c r="J68" s="7">
        <v>90</v>
      </c>
      <c r="K68" s="7">
        <v>16</v>
      </c>
      <c r="L68" s="10">
        <v>0.8</v>
      </c>
      <c r="M68" s="7">
        <v>58.6</v>
      </c>
      <c r="N68" s="7" t="s">
        <v>16</v>
      </c>
      <c r="O68" s="7">
        <v>3</v>
      </c>
      <c r="P68" s="7">
        <v>6</v>
      </c>
      <c r="Q68" s="7" t="s">
        <v>5</v>
      </c>
      <c r="R68" s="7">
        <v>10</v>
      </c>
      <c r="S68" s="7">
        <v>0.5</v>
      </c>
      <c r="T68" s="7" t="s">
        <v>688</v>
      </c>
      <c r="U68" s="7">
        <v>19</v>
      </c>
      <c r="V68" s="7">
        <v>6</v>
      </c>
      <c r="W68" s="7">
        <f>15/1000</f>
        <v>1.4999999999999999E-2</v>
      </c>
      <c r="X68" s="12">
        <f>V68*36.46/(1.18*1000)</f>
        <v>0.18538983050847457</v>
      </c>
      <c r="Y68" s="7">
        <f>W68*X68/Solvent!K20</f>
        <v>7.72457627118644E-3</v>
      </c>
      <c r="Z68" s="7" t="s">
        <v>6</v>
      </c>
      <c r="AA68" s="7">
        <v>29</v>
      </c>
      <c r="AB68" s="7">
        <f>0.17*1000</f>
        <v>170</v>
      </c>
      <c r="AC68" s="7">
        <f>0.72</f>
        <v>0.72</v>
      </c>
      <c r="AD68" s="7" t="s">
        <v>544</v>
      </c>
      <c r="AG68" s="7" t="s">
        <v>545</v>
      </c>
      <c r="AH68" s="7" t="s">
        <v>546</v>
      </c>
      <c r="AL68" s="7">
        <f>50</f>
        <v>50</v>
      </c>
      <c r="AM68" s="7">
        <v>9.2999999999999999E-2</v>
      </c>
      <c r="AX68" s="11"/>
      <c r="AY68" s="7">
        <v>0</v>
      </c>
      <c r="BA68" s="7">
        <v>0</v>
      </c>
    </row>
    <row r="69" spans="1:53" s="7" customFormat="1" ht="15" customHeight="1" x14ac:dyDescent="0.25">
      <c r="A69" s="7" t="s">
        <v>547</v>
      </c>
      <c r="C69" s="8" t="s">
        <v>160</v>
      </c>
      <c r="D69" s="8" t="s">
        <v>548</v>
      </c>
      <c r="E69" s="7">
        <v>6.33</v>
      </c>
      <c r="F69" s="7">
        <v>49.19</v>
      </c>
      <c r="G69" s="7">
        <v>5.5738922257829984</v>
      </c>
      <c r="H69" s="7">
        <v>43.368585308859522</v>
      </c>
      <c r="I69" s="9" t="s">
        <v>4</v>
      </c>
      <c r="J69" s="7">
        <v>110</v>
      </c>
      <c r="K69" s="7">
        <v>72</v>
      </c>
      <c r="L69" s="10">
        <v>0.6</v>
      </c>
      <c r="M69" s="7">
        <v>32.200000000000003</v>
      </c>
      <c r="N69" s="7" t="s">
        <v>338</v>
      </c>
      <c r="O69" s="7">
        <v>1</v>
      </c>
      <c r="P69" s="7">
        <v>4</v>
      </c>
      <c r="Z69" s="7" t="s">
        <v>162</v>
      </c>
      <c r="AA69" s="7">
        <v>45</v>
      </c>
      <c r="AB69" s="7">
        <f>0.015*1000</f>
        <v>15</v>
      </c>
      <c r="AC69" s="7">
        <v>0.05</v>
      </c>
      <c r="AD69" s="7" t="s">
        <v>163</v>
      </c>
      <c r="AE69" s="7" t="s">
        <v>164</v>
      </c>
      <c r="AF69" s="7" t="s">
        <v>165</v>
      </c>
      <c r="AG69" s="7" t="s">
        <v>166</v>
      </c>
      <c r="AH69" s="7" t="s">
        <v>167</v>
      </c>
      <c r="AI69" s="7" t="s">
        <v>35</v>
      </c>
      <c r="AJ69" s="7">
        <v>5</v>
      </c>
      <c r="AK69" s="7">
        <v>0.95</v>
      </c>
      <c r="AL69" s="7">
        <f>0.013*1000</f>
        <v>13</v>
      </c>
      <c r="AM69" s="7">
        <f>0.05</f>
        <v>0.05</v>
      </c>
      <c r="AN69" s="7" t="s">
        <v>549</v>
      </c>
      <c r="AO69" s="7" t="s">
        <v>322</v>
      </c>
      <c r="AP69" s="7" t="s">
        <v>323</v>
      </c>
      <c r="AQ69" s="7" t="s">
        <v>324</v>
      </c>
      <c r="AR69" s="7" t="s">
        <v>325</v>
      </c>
      <c r="AS69" s="7" t="s">
        <v>550</v>
      </c>
      <c r="AT69" s="7">
        <v>25000</v>
      </c>
      <c r="AU69" s="7">
        <v>0.98</v>
      </c>
      <c r="AV69" s="7">
        <f>0.0092*1000</f>
        <v>9.1999999999999993</v>
      </c>
      <c r="AW69" s="7">
        <v>0.05</v>
      </c>
      <c r="AX69" s="11">
        <v>76.67</v>
      </c>
      <c r="AY69" s="7">
        <v>0.99670999999999998</v>
      </c>
      <c r="AZ69" s="7">
        <v>0.17275298</v>
      </c>
      <c r="BA69" s="7">
        <v>1.589327416E-3</v>
      </c>
    </row>
    <row r="70" spans="1:53" s="7" customFormat="1" x14ac:dyDescent="0.25"/>
    <row r="71" spans="1:53" s="7" customFormat="1" x14ac:dyDescent="0.25"/>
    <row r="72" spans="1:53" s="7" customFormat="1" x14ac:dyDescent="0.25"/>
    <row r="73" spans="1:53" s="7" customFormat="1" x14ac:dyDescent="0.25"/>
    <row r="74" spans="1:53" s="7" customFormat="1" x14ac:dyDescent="0.25"/>
    <row r="75" spans="1:53" s="7" customFormat="1" x14ac:dyDescent="0.25"/>
    <row r="76" spans="1:53" s="7" customFormat="1" x14ac:dyDescent="0.25"/>
    <row r="77" spans="1:53" s="7" customFormat="1" x14ac:dyDescent="0.25"/>
    <row r="78" spans="1:53" s="7" customFormat="1" x14ac:dyDescent="0.25"/>
    <row r="79" spans="1:53" s="7" customFormat="1" x14ac:dyDescent="0.25"/>
    <row r="80" spans="1:53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</sheetData>
  <hyperlinks>
    <hyperlink ref="D3" r:id="rId1" xr:uid="{4C12D6FC-68BF-4DFC-9625-89EDA14F7028}"/>
    <hyperlink ref="C3" r:id="rId2" xr:uid="{C8C4D279-84A1-4642-8FDC-276EA14F126C}"/>
    <hyperlink ref="D4" r:id="rId3" xr:uid="{56AC131C-7F92-43E6-9C7C-327662237073}"/>
    <hyperlink ref="C4" r:id="rId4" xr:uid="{141BC478-3BB5-4D69-B7FE-38CBAC38D71D}"/>
    <hyperlink ref="C7" r:id="rId5" xr:uid="{F56C7B44-D4AE-4A4E-B9DA-C9B2ED7796AA}"/>
    <hyperlink ref="D7" r:id="rId6" xr:uid="{D0A00579-8CF0-41ED-9C07-3B953C39C6C4}"/>
    <hyperlink ref="D8" r:id="rId7" xr:uid="{A697D467-FC97-4CBA-8C02-6A328ABF560D}"/>
    <hyperlink ref="C8" r:id="rId8" xr:uid="{6CBAE736-E65B-44D7-B77C-58771FF012F6}"/>
    <hyperlink ref="C9" r:id="rId9" xr:uid="{37D56FB1-A52E-43C0-B714-50DC7060CD98}"/>
    <hyperlink ref="D9" r:id="rId10" xr:uid="{643FA4D1-6C96-4647-AC6F-6D1865176480}"/>
    <hyperlink ref="D10" r:id="rId11" xr:uid="{2254E526-1AF8-49FE-93CE-D33F8DD401A0}"/>
    <hyperlink ref="C10" r:id="rId12" xr:uid="{CD610F75-5ED8-4DE7-B9F5-865DA258C600}"/>
    <hyperlink ref="D12" r:id="rId13" xr:uid="{ABAF064B-4549-4F30-8E5C-6F34FB6E12E5}"/>
    <hyperlink ref="C12" r:id="rId14" xr:uid="{E85230E6-2766-444D-B8D0-6D26D06C83F4}"/>
    <hyperlink ref="D15" r:id="rId15" xr:uid="{024C2D07-0F19-458F-B45E-31E72B1B8069}"/>
    <hyperlink ref="C15" r:id="rId16" xr:uid="{FF1FD1DC-E117-4238-B167-9ADEC4608EDE}"/>
    <hyperlink ref="D22" r:id="rId17" xr:uid="{1682092F-6D52-4F49-97F5-556B7408DC33}"/>
    <hyperlink ref="C22" r:id="rId18" xr:uid="{D8F3E80F-7646-4248-A3EE-41ACEB9E88FA}"/>
    <hyperlink ref="D23" r:id="rId19" xr:uid="{5AB9C7B1-05E6-4F5C-8AE8-20D54A852BB0}"/>
    <hyperlink ref="C23" r:id="rId20" xr:uid="{BD1EC623-0DDC-471C-A933-73E042001741}"/>
    <hyperlink ref="D26" r:id="rId21" xr:uid="{FF28001D-6E2A-45CC-B17F-765F3BF080DA}"/>
    <hyperlink ref="C26" r:id="rId22" xr:uid="{176441B7-4400-4F96-A21B-9CE2BF99421F}"/>
    <hyperlink ref="D27" r:id="rId23" xr:uid="{FD696A28-36BC-4619-8550-72509A927DA8}"/>
    <hyperlink ref="C27" r:id="rId24" xr:uid="{DEFF5DA9-CD31-4F79-995A-AFC7FD293704}"/>
    <hyperlink ref="D28" r:id="rId25" xr:uid="{5BEF43C9-BF49-4D14-88C2-7198F2AD9C76}"/>
    <hyperlink ref="C28" r:id="rId26" xr:uid="{82F01DF4-FD6F-4EFE-BCB8-D97AC086319B}"/>
    <hyperlink ref="C29" r:id="rId27" xr:uid="{0362109D-1491-4236-8D97-0DE5E71EE1CD}"/>
    <hyperlink ref="D29" r:id="rId28" xr:uid="{0B113624-C110-46EF-ABC1-F964D7135553}"/>
    <hyperlink ref="D30" r:id="rId29" xr:uid="{1802AF55-D1A2-4A1E-8484-A10A4963EC5C}"/>
    <hyperlink ref="C30" r:id="rId30" xr:uid="{D5346C54-4AD8-4B06-B846-D5C2C5069487}"/>
    <hyperlink ref="D32" r:id="rId31" xr:uid="{A943A1EC-56F7-4AAD-B231-59295CB87044}"/>
    <hyperlink ref="C32" r:id="rId32" xr:uid="{6EA2230C-BC91-4739-9541-090AAB611E33}"/>
    <hyperlink ref="D37" r:id="rId33" xr:uid="{85C17A2C-E582-4667-A98F-8DE077831541}"/>
    <hyperlink ref="C37" r:id="rId34" xr:uid="{8F7E29BC-6C94-43C7-9FD0-95677B2C5B7A}"/>
    <hyperlink ref="D39" r:id="rId35" xr:uid="{ED56E951-802A-46BC-84D2-2B175EBA648E}"/>
    <hyperlink ref="C39" r:id="rId36" xr:uid="{328FADC3-9D68-4520-8EF0-6478E471F491}"/>
    <hyperlink ref="D41" r:id="rId37" xr:uid="{71ECB04C-A42A-4002-AC9D-C743C3E3E4F9}"/>
    <hyperlink ref="C41" r:id="rId38" xr:uid="{2E83C7CA-2D7C-40EB-9499-914F160D2F44}"/>
    <hyperlink ref="D43" r:id="rId39" xr:uid="{BA4F271B-7551-468A-8807-CE7AD999318E}"/>
    <hyperlink ref="C43" r:id="rId40" xr:uid="{406E8AA7-7015-4839-A3A1-89C73ABEF035}"/>
    <hyperlink ref="D45" r:id="rId41" xr:uid="{E9A047F3-4DFC-469A-BAA0-D8FFBC5215F1}"/>
    <hyperlink ref="C45" r:id="rId42" xr:uid="{B4A9E5F0-661C-4051-B88D-1041581013D5}"/>
    <hyperlink ref="D49" r:id="rId43" xr:uid="{AAD55E79-24D4-4C20-8A9C-3EFF48218F4D}"/>
    <hyperlink ref="C49" r:id="rId44" xr:uid="{1DA5235D-50E2-4C1C-9455-DB490B4ADFE5}"/>
    <hyperlink ref="D51" r:id="rId45" xr:uid="{7D68F243-02A0-41F0-879D-FA804E48D4D4}"/>
    <hyperlink ref="C51" r:id="rId46" xr:uid="{0CB14002-116C-48E7-8DAA-BE2AFFA920AD}"/>
    <hyperlink ref="D52" r:id="rId47" xr:uid="{FF558F98-0BA6-4500-8FF5-4B984CB19ADD}"/>
    <hyperlink ref="C52" r:id="rId48" xr:uid="{1F32390C-00B4-4F55-AE44-FDF5B8A451E0}"/>
    <hyperlink ref="D58" r:id="rId49" xr:uid="{6A5138D9-AF6B-497B-A56E-56997EAD21A4}"/>
    <hyperlink ref="C58" r:id="rId50" xr:uid="{4C6E2A9B-580A-43CE-A59A-D5F16571CC3E}"/>
    <hyperlink ref="D59" r:id="rId51" xr:uid="{7FFBBC84-F621-4B48-A152-6B45A4F2C726}"/>
    <hyperlink ref="C59" r:id="rId52" xr:uid="{53C00021-0D34-4C1C-BB61-6226D28F5118}"/>
    <hyperlink ref="D65" r:id="rId53" xr:uid="{F2E2B379-6FC7-44B7-B871-64008E3776BB}"/>
    <hyperlink ref="C65" r:id="rId54" xr:uid="{2F025A71-B9FC-4441-AFFD-B342E38E5E60}"/>
    <hyperlink ref="D67" r:id="rId55" xr:uid="{27A49273-C3B6-4201-B09A-6313730F93B5}"/>
    <hyperlink ref="C67" r:id="rId56" xr:uid="{0E6001F9-33E2-4871-BB72-3143AAB8C150}"/>
    <hyperlink ref="D68" r:id="rId57" xr:uid="{4CFA34D4-2345-47E4-BA28-66CDE05C0FCE}"/>
    <hyperlink ref="C68" r:id="rId58" xr:uid="{886CA1CF-5C8E-41B0-A28D-D4D1C364072B}"/>
    <hyperlink ref="D69" r:id="rId59" xr:uid="{46C98486-5CC2-49FF-B0B1-456AB04ABDB4}"/>
    <hyperlink ref="C69" r:id="rId60" xr:uid="{FC236516-F2E0-4F52-B1C9-6F75C1F66B19}"/>
    <hyperlink ref="D66" r:id="rId61" xr:uid="{5863915C-7181-4616-BA49-F650232A4DE9}"/>
    <hyperlink ref="C66" r:id="rId62" xr:uid="{3C08EB8B-04B2-4BE6-8071-FFF6ACFAFA8E}"/>
    <hyperlink ref="D60" r:id="rId63" xr:uid="{342672DD-3F65-45E1-B8D1-0B23631BAE6F}"/>
    <hyperlink ref="C60" r:id="rId64" xr:uid="{2A795F62-EBA2-443D-899A-9C6331E1C0F0}"/>
    <hyperlink ref="D61" r:id="rId65" xr:uid="{7CD8DC5E-29FF-4E8F-88B5-383E2961C349}"/>
    <hyperlink ref="C61" r:id="rId66" xr:uid="{4EFE9A81-B650-44DE-B2A3-A26CBF55F47B}"/>
    <hyperlink ref="D62" r:id="rId67" xr:uid="{C70FB4E3-DB5C-459D-9531-1AE903981E25}"/>
    <hyperlink ref="C62" r:id="rId68" xr:uid="{97701086-1212-4948-80FB-4F76DEC351FE}"/>
    <hyperlink ref="D63" r:id="rId69" xr:uid="{9AB7DF88-EF1E-4342-9A79-C8225D0E0F71}"/>
    <hyperlink ref="C63" r:id="rId70" xr:uid="{5E20FD91-9D93-49F9-9A7F-FC9A572F66E7}"/>
    <hyperlink ref="D64" r:id="rId71" xr:uid="{012975DC-E83E-4A5C-B122-94778AF113B3}"/>
    <hyperlink ref="C64" r:id="rId72" xr:uid="{4ED53CD7-5917-44B5-937F-A6C2100D29D9}"/>
    <hyperlink ref="D53" r:id="rId73" xr:uid="{7D623CC2-6A2F-4EFB-8B42-79C21A66ED73}"/>
    <hyperlink ref="C53" r:id="rId74" xr:uid="{00C01BB9-8D4F-4C74-9FA2-8B16ADCFF8C5}"/>
    <hyperlink ref="D54" r:id="rId75" xr:uid="{F47458F1-D1B1-497D-8F5D-30022C9737AE}"/>
    <hyperlink ref="C54" r:id="rId76" xr:uid="{FA28A008-D897-48EC-981A-37A2BD00B4BC}"/>
    <hyperlink ref="D55" r:id="rId77" xr:uid="{2ECB60C9-C1FA-4E38-B53F-44D304D21339}"/>
    <hyperlink ref="C55" r:id="rId78" xr:uid="{001DFFB8-462E-4223-93FA-F2E4ED62AFF1}"/>
    <hyperlink ref="D56" r:id="rId79" xr:uid="{F5A712D7-093B-45A9-B082-CF1BF83FD486}"/>
    <hyperlink ref="C56" r:id="rId80" xr:uid="{395621D2-E1AB-40E5-851E-01486641A4C6}"/>
    <hyperlink ref="D57" r:id="rId81" xr:uid="{267A65FD-56E1-45B0-ACA1-49FFBB0F4863}"/>
    <hyperlink ref="C57" r:id="rId82" xr:uid="{36CFDB31-8A2C-41E9-BCA2-DA966274C818}"/>
    <hyperlink ref="D50" r:id="rId83" xr:uid="{8820E2F6-9B23-4565-9C2D-A5E8118D8F40}"/>
    <hyperlink ref="C50" r:id="rId84" xr:uid="{6277D395-51E4-4826-9CC7-D40632330F39}"/>
    <hyperlink ref="D46" r:id="rId85" xr:uid="{0479BAD2-1F81-45EF-8963-A116FA20A39B}"/>
    <hyperlink ref="C46" r:id="rId86" xr:uid="{B1EBC422-53D8-4A7B-9455-D9C01930B30A}"/>
    <hyperlink ref="D47" r:id="rId87" xr:uid="{AC108545-FE96-402F-84D8-9B9964E8A44B}"/>
    <hyperlink ref="C47" r:id="rId88" xr:uid="{93E11CAD-3224-4155-8FFE-091FEA8C39CF}"/>
    <hyperlink ref="D48" r:id="rId89" xr:uid="{C453BAB2-7F50-4501-9361-5CF5EDC62CB1}"/>
    <hyperlink ref="C48" r:id="rId90" xr:uid="{82B305B6-4FB7-4E35-9E12-B86CF139A36B}"/>
    <hyperlink ref="D44" r:id="rId91" xr:uid="{28F3723A-BF07-4D84-9725-99A78FFB1EEC}"/>
    <hyperlink ref="C44" r:id="rId92" xr:uid="{F759903D-2E16-448E-A648-162D5F699EC9}"/>
    <hyperlink ref="D42" r:id="rId93" xr:uid="{8A91718B-D4EB-42C8-A4D5-2857805796ED}"/>
    <hyperlink ref="C42" r:id="rId94" xr:uid="{83BCF529-C7B2-41F6-9C4B-D8C71ED048D1}"/>
    <hyperlink ref="D40" r:id="rId95" xr:uid="{2B291490-FB73-44D9-B6E7-7712C771EDD7}"/>
    <hyperlink ref="C40" r:id="rId96" xr:uid="{7091C4CF-1DE1-476F-9AD9-BDBA5F043313}"/>
    <hyperlink ref="D38" r:id="rId97" xr:uid="{DBC5566D-EC64-4D25-95D2-E7006A293561}"/>
    <hyperlink ref="C38" r:id="rId98" xr:uid="{C4063310-AC8B-477E-800F-14B5803777B3}"/>
    <hyperlink ref="D33" r:id="rId99" xr:uid="{C6E21B8F-73F7-4642-9D91-05E573A83433}"/>
    <hyperlink ref="C33" r:id="rId100" xr:uid="{8591CF8F-1B76-4315-AD93-FD8D744A7A6E}"/>
    <hyperlink ref="D34" r:id="rId101" xr:uid="{EB8F9C4F-63EF-4B40-90B7-039C43B584AA}"/>
    <hyperlink ref="C34" r:id="rId102" xr:uid="{775EDD3C-36F4-4920-BB3E-53C7EBEA7AAB}"/>
    <hyperlink ref="D35" r:id="rId103" xr:uid="{4079DF7A-E750-4F9E-A72B-2B17664A8FE0}"/>
    <hyperlink ref="C35" r:id="rId104" xr:uid="{6C925405-E1C4-451C-94AA-74C15A99A747}"/>
    <hyperlink ref="D36" r:id="rId105" xr:uid="{E9295245-DCF6-46F0-BB91-CCBEE615A5A9}"/>
    <hyperlink ref="C36" r:id="rId106" xr:uid="{9102D76F-67FE-4EC9-BB2C-10B17B6440EC}"/>
    <hyperlink ref="D31" r:id="rId107" xr:uid="{EE236B4B-6F6E-4651-A107-3985FF55AEA3}"/>
    <hyperlink ref="C31" r:id="rId108" xr:uid="{CB625E7C-C32A-4185-8BF3-91FC23D77929}"/>
    <hyperlink ref="D24" r:id="rId109" xr:uid="{B9E9280E-F53D-4FB1-8348-086F23FCA8D0}"/>
    <hyperlink ref="C24" r:id="rId110" xr:uid="{2BE8A13F-5CFC-4943-937F-452E6393E368}"/>
    <hyperlink ref="D25" r:id="rId111" xr:uid="{703983AA-6908-41A0-94D8-40EF6A20355E}"/>
    <hyperlink ref="C25" r:id="rId112" xr:uid="{F29E373C-35B0-49A7-BEE9-D985AE2D3DDB}"/>
    <hyperlink ref="D16" r:id="rId113" xr:uid="{413FB2DD-6F9C-449E-9175-4E80A4F9332D}"/>
    <hyperlink ref="C16" r:id="rId114" xr:uid="{ACA76C14-4663-4EF0-A869-B78658075892}"/>
    <hyperlink ref="D17" r:id="rId115" xr:uid="{22C89F27-7A47-40A0-9339-AFBA42073132}"/>
    <hyperlink ref="C17" r:id="rId116" xr:uid="{5F5E98DD-0495-444F-B4F4-8D9EF2407847}"/>
    <hyperlink ref="D18" r:id="rId117" xr:uid="{C3E65043-24FF-42A9-8D97-FD6C1FCFDCAB}"/>
    <hyperlink ref="C18" r:id="rId118" xr:uid="{E6BED057-4B40-40E0-AE5A-8E01FEAACE09}"/>
    <hyperlink ref="D19" r:id="rId119" xr:uid="{4BDA06D2-FCCA-4729-A4F1-BBBA2AECF6CA}"/>
    <hyperlink ref="C19" r:id="rId120" xr:uid="{2F645C68-EDF2-4188-B6E9-478957AB1467}"/>
    <hyperlink ref="D20" r:id="rId121" xr:uid="{A75A4BC5-2682-4956-8C91-65973AA3DE48}"/>
    <hyperlink ref="C20" r:id="rId122" xr:uid="{6A7E42C3-D49C-40C8-85E7-2C9E533C3D88}"/>
    <hyperlink ref="D21" r:id="rId123" xr:uid="{BACEF6B5-827C-4E0A-BE2F-C8B31C21B284}"/>
    <hyperlink ref="C21" r:id="rId124" xr:uid="{977A3082-447D-4C59-BA51-78C85B0B03C5}"/>
    <hyperlink ref="D13" r:id="rId125" xr:uid="{97A735AB-6F5E-40F5-B3AA-EF963B104871}"/>
    <hyperlink ref="C13" r:id="rId126" xr:uid="{BC2895B0-2D51-4307-899D-3C971EC90114}"/>
    <hyperlink ref="D14" r:id="rId127" xr:uid="{E5920DEA-11C7-4942-A46B-A757E0EEBB9E}"/>
    <hyperlink ref="C14" r:id="rId128" xr:uid="{1DC958DA-E21B-4420-901A-2D4026FE6B2B}"/>
    <hyperlink ref="D11" r:id="rId129" xr:uid="{60A55C29-4840-4CA2-A2DD-BEA7FAE6A499}"/>
    <hyperlink ref="C11" r:id="rId130" xr:uid="{D41AC661-9304-4344-9308-A1878CF45B1F}"/>
    <hyperlink ref="D5" r:id="rId131" xr:uid="{8B2DE455-7D42-4D20-B114-DFD591E0E6C1}"/>
    <hyperlink ref="C5" r:id="rId132" xr:uid="{B7B5E8A5-2DC8-4643-920C-E7708AA4C1B0}"/>
    <hyperlink ref="C6" r:id="rId133" xr:uid="{C4FF0B01-73EF-4BC3-982D-17CDCD4D5CA2}"/>
    <hyperlink ref="D6" r:id="rId134" xr:uid="{48326C81-D716-4C4D-BBD4-D021C9A90D98}"/>
    <hyperlink ref="D2" r:id="rId135" xr:uid="{7FE13B43-B5B1-481D-AD16-544D06601317}"/>
    <hyperlink ref="C2" r:id="rId136" xr:uid="{AFAB8E80-F823-44D9-AEA9-EB2D0FF824A0}"/>
  </hyperlinks>
  <pageMargins left="0.7" right="0.7" top="0.75" bottom="0.75" header="0.3" footer="0.3"/>
  <pageSetup paperSize="9" orientation="portrait" r:id="rId1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2371-45DC-408E-85D5-ABA00A851AFC}">
  <dimension ref="A1:M30"/>
  <sheetViews>
    <sheetView zoomScale="59" zoomScaleNormal="59" workbookViewId="0">
      <selection activeCell="O8" sqref="O8"/>
    </sheetView>
  </sheetViews>
  <sheetFormatPr defaultRowHeight="15" x14ac:dyDescent="0.25"/>
  <sheetData>
    <row r="1" spans="1:13" ht="75" x14ac:dyDescent="0.25">
      <c r="A1" s="24" t="s">
        <v>740</v>
      </c>
      <c r="B1" s="24" t="s">
        <v>706</v>
      </c>
      <c r="C1" s="24" t="s">
        <v>741</v>
      </c>
      <c r="D1" s="24" t="s">
        <v>747</v>
      </c>
      <c r="E1" s="24" t="s">
        <v>748</v>
      </c>
      <c r="F1" s="24" t="s">
        <v>749</v>
      </c>
      <c r="G1" s="24" t="s">
        <v>750</v>
      </c>
      <c r="H1" s="24" t="s">
        <v>751</v>
      </c>
      <c r="I1" s="24" t="s">
        <v>752</v>
      </c>
      <c r="J1" s="24" t="s">
        <v>753</v>
      </c>
      <c r="K1" s="24" t="s">
        <v>754</v>
      </c>
      <c r="L1" s="24" t="s">
        <v>755</v>
      </c>
      <c r="M1" s="24" t="s">
        <v>756</v>
      </c>
    </row>
    <row r="2" spans="1:13" x14ac:dyDescent="0.25">
      <c r="A2" s="25" t="s">
        <v>494</v>
      </c>
      <c r="B2" s="25">
        <v>0</v>
      </c>
      <c r="C2" s="25" t="s">
        <v>557</v>
      </c>
      <c r="D2" s="25" t="s">
        <v>558</v>
      </c>
      <c r="E2" s="25">
        <v>1</v>
      </c>
      <c r="F2" s="25">
        <v>0.99</v>
      </c>
      <c r="G2" s="25">
        <v>7.9959514170040477E-2</v>
      </c>
      <c r="H2" s="25">
        <v>1501</v>
      </c>
      <c r="I2" s="25" t="s">
        <v>559</v>
      </c>
      <c r="J2" s="25">
        <v>215.14312096029551</v>
      </c>
      <c r="K2" s="25">
        <v>0.85</v>
      </c>
      <c r="L2" s="25">
        <v>2.0756850445691646E-3</v>
      </c>
      <c r="M2" s="25">
        <v>39.153231858699236</v>
      </c>
    </row>
    <row r="3" spans="1:13" x14ac:dyDescent="0.25">
      <c r="A3" s="25" t="s">
        <v>681</v>
      </c>
      <c r="B3" s="25">
        <v>1</v>
      </c>
      <c r="C3" s="25" t="s">
        <v>560</v>
      </c>
      <c r="D3" s="25" t="s">
        <v>558</v>
      </c>
      <c r="E3" s="25">
        <v>8</v>
      </c>
      <c r="F3" s="25">
        <v>0.999</v>
      </c>
      <c r="G3" s="25">
        <v>0.22858512678457277</v>
      </c>
      <c r="H3" s="25">
        <v>4291</v>
      </c>
      <c r="I3" s="25" t="s">
        <v>561</v>
      </c>
      <c r="J3" s="25">
        <v>52.301255230125527</v>
      </c>
      <c r="K3" s="25">
        <v>0.98</v>
      </c>
      <c r="L3" s="25">
        <v>1.9610142765821431E-3</v>
      </c>
      <c r="M3" s="25">
        <v>36.990220096313649</v>
      </c>
    </row>
    <row r="4" spans="1:13" x14ac:dyDescent="0.25">
      <c r="A4" s="25" t="s">
        <v>552</v>
      </c>
      <c r="B4" s="25">
        <v>2</v>
      </c>
      <c r="C4" s="25" t="s">
        <v>560</v>
      </c>
      <c r="D4" s="25" t="s">
        <v>558</v>
      </c>
      <c r="E4" s="25">
        <v>8</v>
      </c>
      <c r="F4" s="25">
        <v>0.999</v>
      </c>
      <c r="G4" s="25">
        <v>0.22858512678457277</v>
      </c>
      <c r="H4" s="25">
        <v>4291</v>
      </c>
      <c r="I4" s="25" t="s">
        <v>561</v>
      </c>
      <c r="J4" s="25">
        <v>52.301255230125527</v>
      </c>
      <c r="K4" s="25">
        <v>0.98</v>
      </c>
      <c r="L4" s="25">
        <v>1.9610142765821431E-3</v>
      </c>
      <c r="M4" s="25">
        <v>36.990220096313649</v>
      </c>
    </row>
    <row r="5" spans="1:13" x14ac:dyDescent="0.25">
      <c r="A5" s="25" t="s">
        <v>16</v>
      </c>
      <c r="B5" s="25">
        <v>3</v>
      </c>
      <c r="C5" s="25" t="s">
        <v>562</v>
      </c>
      <c r="D5" s="25" t="s">
        <v>558</v>
      </c>
      <c r="E5" s="25">
        <v>200</v>
      </c>
      <c r="F5" s="25">
        <v>0.998</v>
      </c>
      <c r="G5" s="25">
        <v>0.17472831877264008</v>
      </c>
      <c r="H5" s="25">
        <v>3280</v>
      </c>
      <c r="I5" s="25" t="s">
        <v>561</v>
      </c>
      <c r="J5" s="25">
        <v>200</v>
      </c>
      <c r="K5" s="26">
        <v>0.99</v>
      </c>
      <c r="L5" s="25">
        <v>6.5367142552738111E-4</v>
      </c>
      <c r="M5" s="25">
        <v>12.330073365437883</v>
      </c>
    </row>
    <row r="6" spans="1:13" x14ac:dyDescent="0.25">
      <c r="A6" s="25" t="s">
        <v>60</v>
      </c>
      <c r="B6" s="25">
        <v>4</v>
      </c>
      <c r="C6" s="25" t="s">
        <v>563</v>
      </c>
      <c r="D6" s="25" t="s">
        <v>558</v>
      </c>
      <c r="E6" s="25">
        <v>0.11013215859030837</v>
      </c>
      <c r="F6" s="25">
        <v>0.99</v>
      </c>
      <c r="G6" s="25">
        <v>1.0230236522480289</v>
      </c>
      <c r="H6" s="25">
        <v>19204.2</v>
      </c>
      <c r="I6" s="25" t="s">
        <v>564</v>
      </c>
      <c r="J6" s="25">
        <v>220.26431718061673</v>
      </c>
      <c r="K6" s="25">
        <v>0.99</v>
      </c>
      <c r="L6" s="25">
        <v>3.9147777647560196E-4</v>
      </c>
      <c r="M6" s="25">
        <v>7.3843670021039847</v>
      </c>
    </row>
    <row r="7" spans="1:13" x14ac:dyDescent="0.25">
      <c r="A7" s="25" t="s">
        <v>29</v>
      </c>
      <c r="B7" s="25">
        <v>5</v>
      </c>
      <c r="C7" s="25" t="s">
        <v>565</v>
      </c>
      <c r="D7" s="25" t="s">
        <v>558</v>
      </c>
      <c r="E7" s="25">
        <v>18</v>
      </c>
      <c r="F7" s="25">
        <v>0.99</v>
      </c>
      <c r="G7" s="25">
        <v>0.16695077775410183</v>
      </c>
      <c r="H7" s="25">
        <v>3133.9999999999995</v>
      </c>
      <c r="I7" s="25" t="s">
        <v>566</v>
      </c>
      <c r="J7" s="25"/>
      <c r="K7" s="25">
        <v>0.99</v>
      </c>
      <c r="L7" s="25">
        <v>1.7342101001491582E-3</v>
      </c>
      <c r="M7" s="25">
        <v>32.71205827709354</v>
      </c>
    </row>
    <row r="8" spans="1:13" x14ac:dyDescent="0.25">
      <c r="A8" s="25" t="s">
        <v>412</v>
      </c>
      <c r="B8" s="25">
        <v>6</v>
      </c>
      <c r="C8" s="25" t="s">
        <v>567</v>
      </c>
      <c r="D8" s="25" t="s">
        <v>558</v>
      </c>
      <c r="E8" s="25">
        <v>18</v>
      </c>
      <c r="F8" s="25">
        <v>0.999</v>
      </c>
      <c r="G8" s="25">
        <v>0.29501385041551242</v>
      </c>
      <c r="H8" s="25">
        <v>5537.9999999999991</v>
      </c>
      <c r="I8" s="25" t="s">
        <v>568</v>
      </c>
      <c r="J8" s="25">
        <v>22.727272727272727</v>
      </c>
      <c r="K8" s="25">
        <v>0.99</v>
      </c>
      <c r="L8" s="25">
        <v>4.7425721819731515E-4</v>
      </c>
      <c r="M8" s="25">
        <v>8.9458190554123167</v>
      </c>
    </row>
    <row r="9" spans="1:13" x14ac:dyDescent="0.25">
      <c r="A9" s="25" t="s">
        <v>375</v>
      </c>
      <c r="B9" s="25">
        <v>7</v>
      </c>
      <c r="C9" s="25" t="s">
        <v>569</v>
      </c>
      <c r="D9" s="25" t="s">
        <v>558</v>
      </c>
      <c r="E9" s="25">
        <v>0.47169811320754712</v>
      </c>
      <c r="F9" s="25">
        <v>0.98</v>
      </c>
      <c r="G9" s="25">
        <v>0.80183251651395693</v>
      </c>
      <c r="H9" s="25">
        <v>15052</v>
      </c>
      <c r="I9" s="25" t="s">
        <v>570</v>
      </c>
      <c r="J9" s="25"/>
      <c r="K9" s="25">
        <v>0.98</v>
      </c>
      <c r="L9" s="25">
        <v>0.21414383200000001</v>
      </c>
      <c r="M9" s="25">
        <v>4039.3522742495998</v>
      </c>
    </row>
    <row r="10" spans="1:13" x14ac:dyDescent="0.25">
      <c r="A10" s="25" t="s">
        <v>553</v>
      </c>
      <c r="B10" s="25">
        <v>8</v>
      </c>
      <c r="C10" s="25" t="s">
        <v>571</v>
      </c>
      <c r="D10" s="25" t="s">
        <v>558</v>
      </c>
      <c r="E10" s="25">
        <v>0.31328320802005011</v>
      </c>
      <c r="F10" s="25">
        <v>0.99</v>
      </c>
      <c r="G10" s="25">
        <v>4.1617408906882591</v>
      </c>
      <c r="H10" s="25">
        <v>78124.200000000012</v>
      </c>
      <c r="I10" s="25" t="s">
        <v>572</v>
      </c>
      <c r="J10" s="25">
        <v>15.664160401002505</v>
      </c>
      <c r="K10" s="25">
        <v>0.99</v>
      </c>
      <c r="L10" s="25">
        <v>1.3762082186234816E-3</v>
      </c>
      <c r="M10" s="25">
        <v>25.959140386251008</v>
      </c>
    </row>
    <row r="11" spans="1:13" s="2" customFormat="1" x14ac:dyDescent="0.25">
      <c r="A11" s="25" t="s">
        <v>573</v>
      </c>
      <c r="B11" s="25">
        <v>9</v>
      </c>
      <c r="C11" s="25" t="s">
        <v>574</v>
      </c>
      <c r="D11" s="25" t="s">
        <v>558</v>
      </c>
      <c r="E11" s="25">
        <v>0.5</v>
      </c>
      <c r="F11" s="25" t="s">
        <v>575</v>
      </c>
      <c r="G11" s="25">
        <v>1.0110803324099722</v>
      </c>
      <c r="H11" s="25">
        <v>18980</v>
      </c>
      <c r="I11" s="25" t="s">
        <v>576</v>
      </c>
      <c r="J11" s="25">
        <v>11.737089201877934</v>
      </c>
      <c r="K11" s="25">
        <v>0.99</v>
      </c>
      <c r="L11" s="25">
        <v>2.1104836991263586E-3</v>
      </c>
      <c r="M11" s="25">
        <v>39.809631919880673</v>
      </c>
    </row>
    <row r="12" spans="1:13" x14ac:dyDescent="0.25">
      <c r="A12" s="25" t="s">
        <v>5</v>
      </c>
      <c r="B12" s="25">
        <v>10</v>
      </c>
      <c r="C12" s="25" t="s">
        <v>577</v>
      </c>
      <c r="D12" s="25" t="s">
        <v>558</v>
      </c>
      <c r="E12" s="25">
        <v>20</v>
      </c>
      <c r="F12" s="25"/>
      <c r="G12" s="25">
        <v>8.3848284679309604E-2</v>
      </c>
      <c r="H12" s="25">
        <v>1574</v>
      </c>
      <c r="I12" s="25" t="s">
        <v>578</v>
      </c>
      <c r="J12" s="25">
        <v>200</v>
      </c>
      <c r="K12" s="26">
        <v>0.99</v>
      </c>
      <c r="L12" s="25">
        <v>1.9044321329639887E-4</v>
      </c>
      <c r="M12" s="25">
        <v>3.5922922437673126</v>
      </c>
    </row>
    <row r="13" spans="1:13" x14ac:dyDescent="0.25">
      <c r="A13" s="25" t="s">
        <v>51</v>
      </c>
      <c r="B13" s="25">
        <v>11</v>
      </c>
      <c r="C13" s="25" t="s">
        <v>579</v>
      </c>
      <c r="D13" s="25" t="s">
        <v>558</v>
      </c>
      <c r="E13" s="25">
        <v>20</v>
      </c>
      <c r="F13" s="25">
        <v>0.998</v>
      </c>
      <c r="G13" s="25">
        <v>8.0652034945663739E-2</v>
      </c>
      <c r="H13" s="25">
        <v>1513.9999999999998</v>
      </c>
      <c r="I13" s="25" t="s">
        <v>580</v>
      </c>
      <c r="J13" s="25">
        <v>200</v>
      </c>
      <c r="K13" s="25">
        <v>0.99</v>
      </c>
      <c r="L13" s="25">
        <v>3.7289580225868314E-4</v>
      </c>
      <c r="M13" s="25">
        <v>7.0338589388450883</v>
      </c>
    </row>
    <row r="14" spans="1:13" x14ac:dyDescent="0.25">
      <c r="A14" s="25" t="s">
        <v>39</v>
      </c>
      <c r="B14" s="25">
        <v>12</v>
      </c>
      <c r="C14" s="25" t="s">
        <v>581</v>
      </c>
      <c r="D14" s="25" t="s">
        <v>558</v>
      </c>
      <c r="E14" s="25">
        <v>20</v>
      </c>
      <c r="F14" s="25">
        <v>0.995</v>
      </c>
      <c r="G14" s="25">
        <v>0.21372256552311952</v>
      </c>
      <c r="H14" s="25">
        <v>4012</v>
      </c>
      <c r="I14" s="25" t="s">
        <v>561</v>
      </c>
      <c r="J14" s="25"/>
      <c r="K14" s="25">
        <v>0.999</v>
      </c>
      <c r="L14" s="25">
        <v>5.8434263797144668E-4</v>
      </c>
      <c r="M14" s="25">
        <v>11.022338311527804</v>
      </c>
    </row>
    <row r="15" spans="1:13" x14ac:dyDescent="0.25">
      <c r="A15" s="25" t="s">
        <v>555</v>
      </c>
      <c r="B15" s="25">
        <v>13</v>
      </c>
      <c r="C15" s="25" t="s">
        <v>582</v>
      </c>
      <c r="D15" s="25" t="s">
        <v>558</v>
      </c>
      <c r="E15" s="25">
        <v>2.5</v>
      </c>
      <c r="F15" s="25">
        <v>0.98</v>
      </c>
      <c r="G15" s="25">
        <v>6.0409119965906671E-2</v>
      </c>
      <c r="H15" s="25">
        <v>1134</v>
      </c>
      <c r="I15" s="25" t="s">
        <v>583</v>
      </c>
      <c r="J15" s="25">
        <v>200</v>
      </c>
      <c r="K15" s="25">
        <v>0.999</v>
      </c>
      <c r="L15" s="25">
        <v>8.9137012571915606E-4</v>
      </c>
      <c r="M15" s="25">
        <v>16.813736407415295</v>
      </c>
    </row>
    <row r="16" spans="1:13" x14ac:dyDescent="0.25">
      <c r="A16" s="25" t="s">
        <v>430</v>
      </c>
      <c r="B16" s="25">
        <v>14</v>
      </c>
      <c r="C16" s="25" t="s">
        <v>584</v>
      </c>
      <c r="D16" s="25" t="s">
        <v>558</v>
      </c>
      <c r="E16" s="25">
        <v>20</v>
      </c>
      <c r="F16" s="25">
        <v>0.995</v>
      </c>
      <c r="G16" s="25">
        <v>0.15560409119965904</v>
      </c>
      <c r="H16" s="25">
        <v>2920.9999999999995</v>
      </c>
      <c r="I16" s="25" t="s">
        <v>585</v>
      </c>
      <c r="J16" s="25">
        <v>203.56234096692111</v>
      </c>
      <c r="K16" s="25">
        <v>0.999</v>
      </c>
      <c r="L16" s="25">
        <v>3.3887833954826334E-4</v>
      </c>
      <c r="M16" s="25">
        <v>6.3921943432309813</v>
      </c>
    </row>
    <row r="17" spans="1:13" s="2" customFormat="1" x14ac:dyDescent="0.25">
      <c r="A17" s="25" t="s">
        <v>586</v>
      </c>
      <c r="B17" s="25">
        <v>16</v>
      </c>
      <c r="C17" s="25" t="s">
        <v>587</v>
      </c>
      <c r="D17" s="25" t="s">
        <v>558</v>
      </c>
      <c r="E17" s="25">
        <v>2.5</v>
      </c>
      <c r="F17" s="25">
        <v>0.7</v>
      </c>
      <c r="G17" s="25">
        <v>7.1894310675474096E-2</v>
      </c>
      <c r="H17" s="25">
        <v>1349.6</v>
      </c>
      <c r="I17" s="25" t="s">
        <v>588</v>
      </c>
      <c r="J17" s="25"/>
      <c r="K17" s="25">
        <v>0.68</v>
      </c>
      <c r="L17" s="25">
        <v>1.6641806946516087E-3</v>
      </c>
      <c r="M17" s="25">
        <v>31.391107607074364</v>
      </c>
    </row>
    <row r="18" spans="1:13" s="2" customFormat="1" x14ac:dyDescent="0.25">
      <c r="A18" s="25" t="s">
        <v>589</v>
      </c>
      <c r="B18" s="25">
        <v>17</v>
      </c>
      <c r="C18" s="25" t="s">
        <v>590</v>
      </c>
      <c r="D18" s="25" t="s">
        <v>558</v>
      </c>
      <c r="E18" s="25">
        <v>1</v>
      </c>
      <c r="F18" s="25" t="s">
        <v>591</v>
      </c>
      <c r="G18" s="25">
        <v>0.75713829107180897</v>
      </c>
      <c r="H18" s="25">
        <v>14212.999999999998</v>
      </c>
      <c r="I18" s="25" t="s">
        <v>592</v>
      </c>
      <c r="J18" s="25"/>
      <c r="K18" s="25">
        <v>0.25</v>
      </c>
      <c r="L18" s="25">
        <v>1.4856168761985932E-4</v>
      </c>
      <c r="M18" s="25">
        <v>2.8022894012358823</v>
      </c>
    </row>
    <row r="19" spans="1:13" s="2" customFormat="1" x14ac:dyDescent="0.25">
      <c r="A19" s="25" t="s">
        <v>687</v>
      </c>
      <c r="B19" s="25">
        <v>18</v>
      </c>
      <c r="C19" s="25" t="s">
        <v>593</v>
      </c>
      <c r="D19" s="25" t="s">
        <v>558</v>
      </c>
      <c r="E19" s="25">
        <v>0.35714285714285715</v>
      </c>
      <c r="F19" s="25" t="s">
        <v>594</v>
      </c>
      <c r="G19" s="25">
        <v>0.4400170466652461</v>
      </c>
      <c r="H19" s="25">
        <v>8260</v>
      </c>
      <c r="I19" s="25" t="s">
        <v>595</v>
      </c>
      <c r="J19" s="25">
        <v>200</v>
      </c>
      <c r="K19" s="25">
        <v>0.99</v>
      </c>
      <c r="L19" s="25">
        <v>5.9424675047943726E-4</v>
      </c>
      <c r="M19" s="25">
        <v>11.209157604943529</v>
      </c>
    </row>
    <row r="20" spans="1:13" s="2" customFormat="1" x14ac:dyDescent="0.25">
      <c r="A20" s="25" t="s">
        <v>75</v>
      </c>
      <c r="B20" s="25">
        <v>19</v>
      </c>
      <c r="C20" s="25" t="s">
        <v>596</v>
      </c>
      <c r="D20" s="25" t="s">
        <v>558</v>
      </c>
      <c r="E20" s="25">
        <v>12</v>
      </c>
      <c r="F20" s="25">
        <v>0.37</v>
      </c>
      <c r="G20" s="25">
        <v>4.1626713544996093E-2</v>
      </c>
      <c r="H20" s="25">
        <v>781.41666666666674</v>
      </c>
      <c r="I20" s="25" t="s">
        <v>597</v>
      </c>
      <c r="J20" s="25">
        <v>215.51724137931035</v>
      </c>
      <c r="K20" s="25">
        <v>0.36</v>
      </c>
      <c r="L20" s="25">
        <v>1.3003270637119114E-4</v>
      </c>
      <c r="M20" s="25">
        <v>2.452780933738504</v>
      </c>
    </row>
    <row r="21" spans="1:13" x14ac:dyDescent="0.25">
      <c r="A21" s="25" t="s">
        <v>689</v>
      </c>
      <c r="B21" s="25">
        <v>20</v>
      </c>
      <c r="C21" s="25" t="s">
        <v>598</v>
      </c>
      <c r="D21" s="25" t="s">
        <v>558</v>
      </c>
      <c r="E21" s="25"/>
      <c r="F21" s="25"/>
      <c r="G21" s="25">
        <v>4.1626713544996093E-2</v>
      </c>
      <c r="H21" s="25">
        <v>781.41666666666674</v>
      </c>
      <c r="I21" s="25" t="s">
        <v>599</v>
      </c>
      <c r="J21" s="25">
        <v>15.432098765432098</v>
      </c>
      <c r="K21" s="25">
        <v>0.999</v>
      </c>
      <c r="L21" s="25">
        <v>1.3969030790539102E-2</v>
      </c>
      <c r="M21" s="25">
        <v>263.49503399578094</v>
      </c>
    </row>
    <row r="22" spans="1:13" x14ac:dyDescent="0.25">
      <c r="A22" s="25" t="s">
        <v>330</v>
      </c>
      <c r="B22" s="25">
        <v>21</v>
      </c>
      <c r="C22" s="25" t="s">
        <v>600</v>
      </c>
      <c r="D22" s="25" t="s">
        <v>558</v>
      </c>
      <c r="E22" s="25">
        <v>18</v>
      </c>
      <c r="F22" s="25">
        <v>0.99</v>
      </c>
      <c r="G22" s="25">
        <v>3.4164358264081249E-2</v>
      </c>
      <c r="H22" s="25">
        <v>641.33333333333326</v>
      </c>
      <c r="I22" s="25" t="s">
        <v>601</v>
      </c>
      <c r="J22" s="25">
        <v>204.95710200190658</v>
      </c>
      <c r="K22" s="25">
        <v>0.99850000000000005</v>
      </c>
      <c r="L22" s="25">
        <v>3.6181514319198798E-4</v>
      </c>
      <c r="M22" s="25">
        <v>6.8248466830018302</v>
      </c>
    </row>
    <row r="23" spans="1:13" x14ac:dyDescent="0.25">
      <c r="A23" s="25" t="s">
        <v>355</v>
      </c>
      <c r="B23" s="25">
        <v>22</v>
      </c>
      <c r="C23" s="25" t="s">
        <v>602</v>
      </c>
      <c r="D23" s="25" t="s">
        <v>558</v>
      </c>
      <c r="E23" s="25">
        <v>3</v>
      </c>
      <c r="F23" s="25">
        <v>0.995</v>
      </c>
      <c r="G23" s="25">
        <v>0.16485545848426733</v>
      </c>
      <c r="H23" s="25">
        <v>3094.6666666666665</v>
      </c>
      <c r="I23" s="25" t="s">
        <v>603</v>
      </c>
      <c r="J23" s="25">
        <v>192.8374655647383</v>
      </c>
      <c r="K23" s="25">
        <v>0.995</v>
      </c>
      <c r="L23" s="25">
        <v>8.7642733922863839E-4</v>
      </c>
      <c r="M23" s="25">
        <v>16.53187361440196</v>
      </c>
    </row>
    <row r="24" spans="1:13" x14ac:dyDescent="0.25">
      <c r="A24" s="25" t="s">
        <v>691</v>
      </c>
      <c r="B24" s="25">
        <v>23</v>
      </c>
      <c r="C24" s="25" t="s">
        <v>604</v>
      </c>
      <c r="D24" s="25" t="s">
        <v>558</v>
      </c>
      <c r="E24" s="25">
        <v>6</v>
      </c>
      <c r="F24" s="25">
        <v>0.998</v>
      </c>
      <c r="G24" s="25">
        <v>0.12021450387101357</v>
      </c>
      <c r="H24" s="25">
        <v>2256.666666666667</v>
      </c>
      <c r="I24" s="25" t="s">
        <v>603</v>
      </c>
      <c r="J24" s="25">
        <v>204.91803278688525</v>
      </c>
      <c r="K24" s="25">
        <v>0.995</v>
      </c>
      <c r="L24" s="25">
        <v>2.4300939860430427E-3</v>
      </c>
      <c r="M24" s="25">
        <v>45.838376839932707</v>
      </c>
    </row>
    <row r="25" spans="1:13" s="2" customFormat="1" x14ac:dyDescent="0.25">
      <c r="A25" s="25" t="s">
        <v>692</v>
      </c>
      <c r="B25" s="25">
        <v>24</v>
      </c>
      <c r="C25" s="25" t="s">
        <v>605</v>
      </c>
      <c r="D25" s="25" t="s">
        <v>558</v>
      </c>
      <c r="E25" s="25">
        <v>2.5</v>
      </c>
      <c r="F25" s="25" t="s">
        <v>606</v>
      </c>
      <c r="G25" s="25">
        <v>3.8866396761133598E-2</v>
      </c>
      <c r="H25" s="25">
        <v>729.59999999999991</v>
      </c>
      <c r="I25" s="25" t="s">
        <v>607</v>
      </c>
      <c r="J25" s="25">
        <v>206.18556701030928</v>
      </c>
      <c r="K25" s="25">
        <v>0.99</v>
      </c>
      <c r="L25" s="25">
        <v>6.6913382058384819E-4</v>
      </c>
      <c r="M25" s="25">
        <v>12.621737430909011</v>
      </c>
    </row>
    <row r="26" spans="1:13" x14ac:dyDescent="0.25">
      <c r="A26" s="25" t="s">
        <v>316</v>
      </c>
      <c r="B26" s="25">
        <v>25</v>
      </c>
      <c r="C26" s="25" t="s">
        <v>608</v>
      </c>
      <c r="D26" s="25" t="s">
        <v>558</v>
      </c>
      <c r="E26" s="25">
        <v>2</v>
      </c>
      <c r="F26" s="25">
        <v>0.99</v>
      </c>
      <c r="G26" s="25">
        <v>0.11668975069252077</v>
      </c>
      <c r="H26" s="25">
        <v>2190.5</v>
      </c>
      <c r="I26" s="25" t="s">
        <v>585</v>
      </c>
      <c r="J26" s="25"/>
      <c r="K26" s="26">
        <v>0.99</v>
      </c>
      <c r="L26" s="25">
        <v>4.4580178510547619E-4</v>
      </c>
      <c r="M26" s="25">
        <v>8.4090699120875758</v>
      </c>
    </row>
    <row r="27" spans="1:13" x14ac:dyDescent="0.25">
      <c r="A27" s="25" t="s">
        <v>556</v>
      </c>
      <c r="B27" s="25">
        <v>26</v>
      </c>
      <c r="C27" s="25" t="s">
        <v>608</v>
      </c>
      <c r="D27" s="25" t="s">
        <v>558</v>
      </c>
      <c r="E27" s="25">
        <v>2</v>
      </c>
      <c r="F27" s="25">
        <v>0.99</v>
      </c>
      <c r="G27" s="25">
        <v>0.11668975069252077</v>
      </c>
      <c r="H27" s="25">
        <v>2190.5</v>
      </c>
      <c r="I27" s="25" t="s">
        <v>585</v>
      </c>
      <c r="J27" s="25"/>
      <c r="K27" s="26">
        <v>0.99</v>
      </c>
      <c r="L27" s="25">
        <v>4.4580178510547619E-4</v>
      </c>
      <c r="M27" s="25">
        <v>8.4090699120875758</v>
      </c>
    </row>
    <row r="28" spans="1:13" x14ac:dyDescent="0.25">
      <c r="A28" s="27" t="s">
        <v>693</v>
      </c>
      <c r="B28" s="27">
        <v>27</v>
      </c>
      <c r="C28" s="27" t="s">
        <v>609</v>
      </c>
      <c r="D28" s="27" t="s">
        <v>558</v>
      </c>
      <c r="E28" s="27">
        <v>8</v>
      </c>
      <c r="F28" s="27">
        <v>0.998</v>
      </c>
      <c r="G28" s="27">
        <v>9.502184103984658E-2</v>
      </c>
      <c r="H28" s="27">
        <v>1783.75</v>
      </c>
      <c r="I28" s="27" t="s">
        <v>610</v>
      </c>
      <c r="J28" s="27">
        <v>203.77358490566039</v>
      </c>
      <c r="K28" s="27">
        <v>0.995</v>
      </c>
      <c r="L28" s="27">
        <v>4.5701150117195816E-4</v>
      </c>
      <c r="M28" s="27">
        <v>8.6205165443064118</v>
      </c>
    </row>
    <row r="29" spans="1:13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4BB3-9A72-447C-97B5-F30AB29F2824}">
  <dimension ref="A1:N32"/>
  <sheetViews>
    <sheetView zoomScale="59" zoomScaleNormal="59" workbookViewId="0">
      <selection activeCell="O5" sqref="O5"/>
    </sheetView>
  </sheetViews>
  <sheetFormatPr defaultRowHeight="15" x14ac:dyDescent="0.25"/>
  <sheetData>
    <row r="1" spans="1:14" s="5" customFormat="1" ht="75" x14ac:dyDescent="0.25">
      <c r="A1" s="1" t="s">
        <v>742</v>
      </c>
      <c r="B1" s="1" t="s">
        <v>743</v>
      </c>
      <c r="C1" s="1" t="s">
        <v>715</v>
      </c>
      <c r="D1" s="1" t="s">
        <v>744</v>
      </c>
      <c r="E1" s="1" t="s">
        <v>747</v>
      </c>
      <c r="F1" s="1" t="s">
        <v>757</v>
      </c>
      <c r="G1" s="1" t="s">
        <v>749</v>
      </c>
      <c r="H1" s="1" t="s">
        <v>758</v>
      </c>
      <c r="I1" s="1" t="s">
        <v>759</v>
      </c>
      <c r="J1" s="1" t="s">
        <v>752</v>
      </c>
      <c r="K1" s="1" t="s">
        <v>760</v>
      </c>
      <c r="L1" s="1" t="s">
        <v>754</v>
      </c>
      <c r="M1" s="1" t="s">
        <v>761</v>
      </c>
      <c r="N1" s="1" t="s">
        <v>762</v>
      </c>
    </row>
    <row r="2" spans="1:14" x14ac:dyDescent="0.25">
      <c r="A2" t="s">
        <v>536</v>
      </c>
      <c r="B2">
        <v>2</v>
      </c>
      <c r="C2">
        <v>28</v>
      </c>
      <c r="D2" t="s">
        <v>611</v>
      </c>
      <c r="E2" t="s">
        <v>558</v>
      </c>
      <c r="F2">
        <v>500</v>
      </c>
      <c r="G2">
        <v>0.98</v>
      </c>
      <c r="H2">
        <v>0.4461964628169614</v>
      </c>
      <c r="I2">
        <v>8376</v>
      </c>
      <c r="J2" t="s">
        <v>612</v>
      </c>
      <c r="K2">
        <v>25000</v>
      </c>
      <c r="L2">
        <v>0.99</v>
      </c>
      <c r="M2">
        <v>2.5499999999999997E-3</v>
      </c>
      <c r="N2">
        <v>48.100139999999996</v>
      </c>
    </row>
    <row r="3" spans="1:14" x14ac:dyDescent="0.25">
      <c r="B3">
        <v>2.5</v>
      </c>
      <c r="C3">
        <v>29</v>
      </c>
      <c r="D3" t="s">
        <v>613</v>
      </c>
      <c r="E3" t="s">
        <v>558</v>
      </c>
      <c r="F3">
        <v>500</v>
      </c>
      <c r="G3">
        <v>0.98</v>
      </c>
      <c r="H3">
        <v>0.4461964628169614</v>
      </c>
      <c r="I3">
        <v>8376</v>
      </c>
      <c r="J3" t="s">
        <v>612</v>
      </c>
      <c r="K3">
        <v>25000</v>
      </c>
      <c r="L3">
        <v>0.99</v>
      </c>
      <c r="M3">
        <v>2.5499999999999997E-3</v>
      </c>
      <c r="N3">
        <v>48.100139999999996</v>
      </c>
    </row>
    <row r="4" spans="1:14" x14ac:dyDescent="0.25">
      <c r="B4">
        <v>3</v>
      </c>
      <c r="C4">
        <v>30</v>
      </c>
      <c r="D4" t="s">
        <v>614</v>
      </c>
      <c r="E4" t="s">
        <v>558</v>
      </c>
      <c r="F4">
        <v>100</v>
      </c>
      <c r="G4">
        <v>0.99</v>
      </c>
      <c r="H4">
        <v>1.128808864265928</v>
      </c>
      <c r="I4">
        <v>21190</v>
      </c>
      <c r="J4" t="s">
        <v>612</v>
      </c>
      <c r="K4">
        <v>25000</v>
      </c>
      <c r="L4">
        <v>0.99</v>
      </c>
      <c r="M4">
        <v>2.5499999999999997E-3</v>
      </c>
      <c r="N4">
        <v>48.100139999999996</v>
      </c>
    </row>
    <row r="5" spans="1:14" x14ac:dyDescent="0.25">
      <c r="B5">
        <v>4</v>
      </c>
      <c r="C5">
        <v>31</v>
      </c>
      <c r="D5" t="s">
        <v>615</v>
      </c>
      <c r="E5" t="s">
        <v>558</v>
      </c>
      <c r="F5">
        <v>50</v>
      </c>
      <c r="G5">
        <v>0.98</v>
      </c>
      <c r="H5">
        <v>1.6383431174089069</v>
      </c>
      <c r="I5">
        <v>30754.977000000003</v>
      </c>
      <c r="J5" t="s">
        <v>612</v>
      </c>
      <c r="K5">
        <v>25000</v>
      </c>
      <c r="L5">
        <v>0.99</v>
      </c>
      <c r="M5">
        <v>2.5499999999999997E-3</v>
      </c>
      <c r="N5">
        <v>48.100139999999996</v>
      </c>
    </row>
    <row r="6" spans="1:14" x14ac:dyDescent="0.25">
      <c r="B6">
        <v>6</v>
      </c>
      <c r="C6">
        <v>32</v>
      </c>
      <c r="D6" t="s">
        <v>616</v>
      </c>
      <c r="E6" t="s">
        <v>558</v>
      </c>
      <c r="F6">
        <v>100</v>
      </c>
      <c r="G6">
        <v>0.98</v>
      </c>
      <c r="H6">
        <v>3.1214747815896016</v>
      </c>
      <c r="I6">
        <v>58596.324600000007</v>
      </c>
      <c r="J6" t="s">
        <v>612</v>
      </c>
      <c r="K6">
        <v>25000</v>
      </c>
      <c r="L6">
        <v>0.99</v>
      </c>
      <c r="M6">
        <v>2.5499999999999997E-3</v>
      </c>
      <c r="N6">
        <v>48.100139999999996</v>
      </c>
    </row>
    <row r="7" spans="1:14" x14ac:dyDescent="0.25">
      <c r="A7" t="s">
        <v>617</v>
      </c>
      <c r="B7">
        <v>5</v>
      </c>
      <c r="C7">
        <v>33</v>
      </c>
      <c r="D7" t="s">
        <v>618</v>
      </c>
      <c r="E7" t="s">
        <v>558</v>
      </c>
      <c r="F7">
        <v>25000</v>
      </c>
      <c r="G7">
        <v>0.98</v>
      </c>
      <c r="H7">
        <v>6.66055827828681E-2</v>
      </c>
      <c r="I7">
        <v>1250.32</v>
      </c>
      <c r="J7" t="s">
        <v>619</v>
      </c>
      <c r="K7">
        <v>25000</v>
      </c>
      <c r="L7">
        <v>0.99</v>
      </c>
      <c r="M7">
        <v>5.1000000000000004E-4</v>
      </c>
      <c r="N7">
        <v>9.6200279999999996</v>
      </c>
    </row>
    <row r="8" spans="1:14" x14ac:dyDescent="0.25">
      <c r="A8" t="s">
        <v>620</v>
      </c>
      <c r="B8">
        <v>2</v>
      </c>
      <c r="C8">
        <v>34</v>
      </c>
      <c r="D8" t="s">
        <v>621</v>
      </c>
      <c r="E8" t="s">
        <v>558</v>
      </c>
      <c r="F8">
        <v>500</v>
      </c>
      <c r="G8">
        <v>0.99</v>
      </c>
      <c r="H8">
        <v>0.66524611122949073</v>
      </c>
      <c r="I8">
        <v>12488</v>
      </c>
      <c r="J8" t="s">
        <v>612</v>
      </c>
      <c r="K8">
        <v>25000</v>
      </c>
      <c r="L8">
        <v>0.99</v>
      </c>
      <c r="M8">
        <v>3.3999999999999998E-3</v>
      </c>
      <c r="N8">
        <v>64.13351999999999</v>
      </c>
    </row>
    <row r="9" spans="1:14" x14ac:dyDescent="0.25">
      <c r="B9">
        <v>3</v>
      </c>
      <c r="C9">
        <v>35</v>
      </c>
      <c r="D9" t="s">
        <v>622</v>
      </c>
      <c r="E9" t="s">
        <v>558</v>
      </c>
      <c r="F9">
        <v>500</v>
      </c>
      <c r="G9">
        <v>0.99</v>
      </c>
      <c r="H9">
        <v>0.66524611122949073</v>
      </c>
      <c r="I9">
        <v>12488</v>
      </c>
      <c r="J9" t="s">
        <v>612</v>
      </c>
      <c r="K9">
        <v>25000</v>
      </c>
      <c r="L9">
        <v>0.99</v>
      </c>
      <c r="M9">
        <v>3.3999999999999998E-3</v>
      </c>
      <c r="N9">
        <v>64.13351999999999</v>
      </c>
    </row>
    <row r="10" spans="1:14" x14ac:dyDescent="0.25">
      <c r="A10" t="s">
        <v>623</v>
      </c>
      <c r="B10">
        <v>6</v>
      </c>
      <c r="C10">
        <v>36</v>
      </c>
      <c r="D10" t="s">
        <v>624</v>
      </c>
      <c r="E10" t="s">
        <v>558</v>
      </c>
      <c r="F10">
        <v>250</v>
      </c>
      <c r="G10">
        <v>0.22</v>
      </c>
      <c r="H10">
        <v>0.83571276369060299</v>
      </c>
      <c r="I10">
        <v>15688</v>
      </c>
      <c r="J10" t="s">
        <v>625</v>
      </c>
      <c r="L10">
        <v>0.99</v>
      </c>
      <c r="M10">
        <v>9.9041125079906232E-3</v>
      </c>
      <c r="N10">
        <v>186.81929341572553</v>
      </c>
    </row>
    <row r="11" spans="1:14" x14ac:dyDescent="0.25">
      <c r="A11" t="s">
        <v>226</v>
      </c>
      <c r="C11">
        <v>37</v>
      </c>
      <c r="D11" t="s">
        <v>626</v>
      </c>
      <c r="E11" t="s">
        <v>505</v>
      </c>
      <c r="F11">
        <v>500</v>
      </c>
      <c r="G11">
        <v>0.98</v>
      </c>
      <c r="H11">
        <v>0.23109260813978266</v>
      </c>
      <c r="I11">
        <v>4338.0704400000004</v>
      </c>
      <c r="J11" t="s">
        <v>568</v>
      </c>
      <c r="K11">
        <v>25000</v>
      </c>
      <c r="L11">
        <v>0.99</v>
      </c>
      <c r="M11">
        <v>4.2500000000000003E-3</v>
      </c>
      <c r="N11">
        <v>80.166899999999998</v>
      </c>
    </row>
    <row r="12" spans="1:14" x14ac:dyDescent="0.25">
      <c r="A12" t="s">
        <v>627</v>
      </c>
      <c r="B12">
        <v>1</v>
      </c>
      <c r="C12">
        <v>38</v>
      </c>
      <c r="D12" t="s">
        <v>628</v>
      </c>
      <c r="E12" t="s">
        <v>558</v>
      </c>
      <c r="F12">
        <v>100</v>
      </c>
      <c r="G12">
        <v>0.98</v>
      </c>
      <c r="H12">
        <v>2.6049435329213719</v>
      </c>
      <c r="I12">
        <v>48900</v>
      </c>
      <c r="J12" t="s">
        <v>629</v>
      </c>
      <c r="L12">
        <v>0.99</v>
      </c>
      <c r="M12">
        <v>4.2499999999999998E-4</v>
      </c>
      <c r="N12">
        <v>8.0166899999999988</v>
      </c>
    </row>
    <row r="13" spans="1:14" x14ac:dyDescent="0.25">
      <c r="A13" t="s">
        <v>554</v>
      </c>
      <c r="C13">
        <v>39</v>
      </c>
      <c r="D13" t="s">
        <v>630</v>
      </c>
      <c r="E13" t="s">
        <v>558</v>
      </c>
      <c r="F13">
        <v>500</v>
      </c>
      <c r="G13">
        <v>0.99</v>
      </c>
      <c r="H13">
        <v>0.53473258043895155</v>
      </c>
      <c r="I13">
        <v>10038</v>
      </c>
      <c r="J13" t="s">
        <v>631</v>
      </c>
      <c r="K13">
        <v>25000</v>
      </c>
      <c r="L13">
        <v>0.99</v>
      </c>
      <c r="M13">
        <v>8.5000000000000006E-3</v>
      </c>
      <c r="N13">
        <v>160.3338</v>
      </c>
    </row>
    <row r="14" spans="1:14" x14ac:dyDescent="0.25">
      <c r="A14" t="s">
        <v>632</v>
      </c>
      <c r="B14">
        <v>6</v>
      </c>
      <c r="C14">
        <v>40</v>
      </c>
      <c r="D14" t="s">
        <v>633</v>
      </c>
      <c r="E14" t="s">
        <v>505</v>
      </c>
      <c r="F14">
        <v>250</v>
      </c>
      <c r="G14">
        <v>0.95</v>
      </c>
      <c r="H14">
        <v>0.76226069252077555</v>
      </c>
      <c r="I14">
        <v>14309.157719999999</v>
      </c>
      <c r="J14" t="s">
        <v>634</v>
      </c>
      <c r="L14">
        <v>0.99</v>
      </c>
      <c r="M14">
        <v>2.2086170892819086E-3</v>
      </c>
      <c r="N14">
        <v>41.660702431706788</v>
      </c>
    </row>
    <row r="15" spans="1:14" x14ac:dyDescent="0.25">
      <c r="A15" t="s">
        <v>635</v>
      </c>
      <c r="B15">
        <v>6</v>
      </c>
      <c r="C15">
        <v>41</v>
      </c>
      <c r="D15" t="s">
        <v>636</v>
      </c>
      <c r="E15" t="s">
        <v>637</v>
      </c>
      <c r="F15">
        <v>500</v>
      </c>
      <c r="G15">
        <v>0.99</v>
      </c>
      <c r="H15">
        <v>0.34775988381632217</v>
      </c>
      <c r="I15">
        <v>6528.1485389999998</v>
      </c>
      <c r="J15" t="s">
        <v>638</v>
      </c>
      <c r="K15">
        <v>10000</v>
      </c>
      <c r="L15">
        <v>0.99</v>
      </c>
      <c r="M15">
        <v>8.5000000000000006E-3</v>
      </c>
      <c r="N15">
        <v>160.3338</v>
      </c>
    </row>
    <row r="16" spans="1:14" x14ac:dyDescent="0.25">
      <c r="A16" t="s">
        <v>639</v>
      </c>
      <c r="B16">
        <v>6</v>
      </c>
      <c r="C16">
        <v>42</v>
      </c>
      <c r="D16" t="s">
        <v>640</v>
      </c>
      <c r="E16" t="s">
        <v>641</v>
      </c>
      <c r="F16">
        <v>250</v>
      </c>
      <c r="G16">
        <v>0.99</v>
      </c>
      <c r="H16">
        <v>0.77829920935435748</v>
      </c>
      <c r="I16">
        <v>14610.232758</v>
      </c>
      <c r="J16" t="s">
        <v>634</v>
      </c>
      <c r="L16">
        <v>0.98</v>
      </c>
      <c r="M16">
        <v>1.8520690389942467E-3</v>
      </c>
      <c r="N16">
        <v>34.935207868740676</v>
      </c>
    </row>
    <row r="17" spans="1:14" x14ac:dyDescent="0.25">
      <c r="A17" t="s">
        <v>642</v>
      </c>
      <c r="B17">
        <v>7</v>
      </c>
      <c r="C17">
        <v>43</v>
      </c>
      <c r="D17" t="s">
        <v>643</v>
      </c>
      <c r="E17" t="s">
        <v>558</v>
      </c>
      <c r="F17">
        <v>2500</v>
      </c>
      <c r="G17">
        <v>0.99</v>
      </c>
      <c r="H17">
        <v>0.21035584913701255</v>
      </c>
      <c r="I17">
        <v>3948.7999999999997</v>
      </c>
      <c r="J17" t="s">
        <v>612</v>
      </c>
      <c r="K17">
        <v>25000</v>
      </c>
      <c r="L17">
        <v>0.99</v>
      </c>
      <c r="M17">
        <v>4.2500000000000003E-3</v>
      </c>
      <c r="N17">
        <v>80.166899999999998</v>
      </c>
    </row>
    <row r="18" spans="1:14" x14ac:dyDescent="0.25">
      <c r="A18" t="s">
        <v>447</v>
      </c>
      <c r="B18">
        <v>4</v>
      </c>
      <c r="C18">
        <v>44</v>
      </c>
      <c r="D18" t="s">
        <v>644</v>
      </c>
      <c r="E18" t="s">
        <v>645</v>
      </c>
      <c r="F18">
        <v>500</v>
      </c>
      <c r="G18">
        <v>0.98</v>
      </c>
      <c r="H18">
        <v>0.10399167366290218</v>
      </c>
      <c r="I18">
        <v>1952.1316979999999</v>
      </c>
      <c r="J18" t="s">
        <v>646</v>
      </c>
      <c r="K18">
        <v>50000</v>
      </c>
      <c r="L18">
        <v>0.99</v>
      </c>
      <c r="M18">
        <v>8.4184956317920302E-4</v>
      </c>
      <c r="N18">
        <v>15.87963994033667</v>
      </c>
    </row>
    <row r="19" spans="1:14" x14ac:dyDescent="0.25">
      <c r="B19">
        <v>6</v>
      </c>
      <c r="C19">
        <v>45</v>
      </c>
      <c r="D19" t="s">
        <v>647</v>
      </c>
      <c r="E19" t="s">
        <v>558</v>
      </c>
      <c r="F19">
        <v>500</v>
      </c>
      <c r="G19">
        <v>0.98</v>
      </c>
      <c r="H19">
        <v>0.21287023226081397</v>
      </c>
      <c r="I19">
        <v>3996</v>
      </c>
      <c r="J19" t="s">
        <v>648</v>
      </c>
      <c r="K19">
        <v>50000</v>
      </c>
      <c r="L19">
        <v>0.98</v>
      </c>
      <c r="M19">
        <v>1.287534626038781E-3</v>
      </c>
      <c r="N19">
        <v>24.286508144044319</v>
      </c>
    </row>
    <row r="20" spans="1:14" x14ac:dyDescent="0.25">
      <c r="A20" t="s">
        <v>649</v>
      </c>
      <c r="B20">
        <v>2</v>
      </c>
      <c r="C20">
        <v>46</v>
      </c>
      <c r="D20" t="s">
        <v>650</v>
      </c>
      <c r="E20" t="s">
        <v>558</v>
      </c>
      <c r="F20">
        <v>2500</v>
      </c>
      <c r="G20">
        <v>0.98</v>
      </c>
      <c r="H20">
        <v>0.16309396974216919</v>
      </c>
      <c r="I20">
        <v>3061.6000000000004</v>
      </c>
      <c r="J20" t="s">
        <v>612</v>
      </c>
      <c r="K20">
        <v>25000</v>
      </c>
      <c r="L20">
        <v>0.99</v>
      </c>
      <c r="M20">
        <v>2.3715000000000003E-3</v>
      </c>
      <c r="N20">
        <v>44.733130200000005</v>
      </c>
    </row>
    <row r="21" spans="1:14" x14ac:dyDescent="0.25">
      <c r="A21" t="s">
        <v>551</v>
      </c>
      <c r="C21">
        <v>47</v>
      </c>
      <c r="D21" t="s">
        <v>651</v>
      </c>
      <c r="E21" t="s">
        <v>558</v>
      </c>
      <c r="F21">
        <v>1000</v>
      </c>
      <c r="G21">
        <v>0.98</v>
      </c>
      <c r="H21">
        <v>0.21265714894523757</v>
      </c>
      <c r="I21">
        <v>3992</v>
      </c>
      <c r="J21" t="s">
        <v>652</v>
      </c>
      <c r="L21">
        <v>0.99</v>
      </c>
      <c r="M21">
        <v>4.2499999999999998E-4</v>
      </c>
      <c r="N21">
        <v>8.0166899999999988</v>
      </c>
    </row>
    <row r="22" spans="1:14" x14ac:dyDescent="0.25">
      <c r="A22" t="s">
        <v>653</v>
      </c>
      <c r="B22">
        <v>6</v>
      </c>
      <c r="C22">
        <v>48</v>
      </c>
      <c r="D22" t="s">
        <v>654</v>
      </c>
      <c r="E22" t="s">
        <v>558</v>
      </c>
      <c r="F22">
        <v>250</v>
      </c>
      <c r="G22">
        <v>0.97</v>
      </c>
      <c r="H22">
        <v>0.33198380566801622</v>
      </c>
      <c r="I22">
        <v>6232.0000000000009</v>
      </c>
      <c r="J22" t="s">
        <v>655</v>
      </c>
      <c r="K22">
        <v>50000</v>
      </c>
      <c r="L22">
        <v>0.99</v>
      </c>
      <c r="M22">
        <v>2.1250000000000002E-3</v>
      </c>
      <c r="N22">
        <v>40.083449999999999</v>
      </c>
    </row>
    <row r="23" spans="1:14" x14ac:dyDescent="0.25">
      <c r="B23">
        <v>7</v>
      </c>
      <c r="C23">
        <v>49</v>
      </c>
      <c r="D23" t="s">
        <v>654</v>
      </c>
      <c r="E23" t="s">
        <v>558</v>
      </c>
      <c r="F23">
        <v>250</v>
      </c>
      <c r="G23">
        <v>0.97</v>
      </c>
      <c r="H23">
        <v>0.33198380566801622</v>
      </c>
      <c r="I23">
        <v>6232.0000000000009</v>
      </c>
      <c r="J23" t="s">
        <v>655</v>
      </c>
      <c r="K23">
        <v>50000</v>
      </c>
      <c r="L23">
        <v>0.99</v>
      </c>
      <c r="M23">
        <v>2.1250000000000002E-3</v>
      </c>
      <c r="N23">
        <v>40.083449999999999</v>
      </c>
    </row>
    <row r="24" spans="1:14" x14ac:dyDescent="0.25">
      <c r="A24" t="s">
        <v>656</v>
      </c>
      <c r="B24">
        <v>4</v>
      </c>
      <c r="C24">
        <v>50</v>
      </c>
      <c r="D24" t="s">
        <v>657</v>
      </c>
      <c r="E24" t="s">
        <v>658</v>
      </c>
      <c r="F24">
        <v>1000</v>
      </c>
      <c r="G24">
        <v>0.98</v>
      </c>
      <c r="H24">
        <v>0.20005031749414018</v>
      </c>
      <c r="I24">
        <v>3755.3445599999995</v>
      </c>
      <c r="J24" t="s">
        <v>659</v>
      </c>
      <c r="L24">
        <v>0.99</v>
      </c>
      <c r="M24">
        <v>1.3865757511186873E-3</v>
      </c>
      <c r="N24">
        <v>26.154701078201576</v>
      </c>
    </row>
    <row r="25" spans="1:14" x14ac:dyDescent="0.25">
      <c r="A25" t="s">
        <v>660</v>
      </c>
      <c r="B25">
        <v>4</v>
      </c>
      <c r="C25">
        <v>51</v>
      </c>
      <c r="D25" t="s">
        <v>657</v>
      </c>
      <c r="E25" t="s">
        <v>558</v>
      </c>
      <c r="F25">
        <v>500</v>
      </c>
      <c r="G25">
        <v>0.98</v>
      </c>
      <c r="H25">
        <v>0.3663967611336032</v>
      </c>
      <c r="I25">
        <v>6878</v>
      </c>
      <c r="J25" t="s">
        <v>661</v>
      </c>
      <c r="K25">
        <v>25000</v>
      </c>
      <c r="M25">
        <v>6.7999999999999996E-3</v>
      </c>
      <c r="N25">
        <v>128.26703999999998</v>
      </c>
    </row>
    <row r="26" spans="1:14" x14ac:dyDescent="0.25">
      <c r="A26" t="s">
        <v>662</v>
      </c>
      <c r="B26">
        <v>4</v>
      </c>
      <c r="C26">
        <v>52</v>
      </c>
      <c r="D26" t="s">
        <v>663</v>
      </c>
      <c r="E26" t="s">
        <v>558</v>
      </c>
      <c r="F26">
        <v>500</v>
      </c>
      <c r="G26">
        <v>0.98</v>
      </c>
      <c r="H26">
        <v>0.55636053696995524</v>
      </c>
      <c r="I26">
        <v>10444</v>
      </c>
      <c r="J26" t="s">
        <v>664</v>
      </c>
      <c r="M26">
        <v>7.9232900063924987E-4</v>
      </c>
      <c r="N26">
        <v>14.945543473258041</v>
      </c>
    </row>
    <row r="27" spans="1:14" x14ac:dyDescent="0.25">
      <c r="B27">
        <v>6</v>
      </c>
      <c r="C27">
        <v>53</v>
      </c>
      <c r="D27" t="s">
        <v>663</v>
      </c>
      <c r="E27" t="s">
        <v>558</v>
      </c>
      <c r="F27">
        <v>500</v>
      </c>
      <c r="G27">
        <v>0.98</v>
      </c>
      <c r="H27">
        <v>0.55636053696995524</v>
      </c>
      <c r="I27">
        <v>10444</v>
      </c>
      <c r="J27" t="s">
        <v>664</v>
      </c>
      <c r="M27">
        <v>7.9232900063924987E-4</v>
      </c>
      <c r="N27">
        <v>14.945543473258041</v>
      </c>
    </row>
    <row r="28" spans="1:14" x14ac:dyDescent="0.25">
      <c r="A28" t="s">
        <v>665</v>
      </c>
      <c r="B28">
        <v>8</v>
      </c>
      <c r="C28">
        <v>54</v>
      </c>
      <c r="D28" t="s">
        <v>666</v>
      </c>
      <c r="E28" t="s">
        <v>667</v>
      </c>
      <c r="F28">
        <v>500</v>
      </c>
      <c r="G28">
        <v>0.98</v>
      </c>
      <c r="H28">
        <v>0.21362834434263794</v>
      </c>
      <c r="I28">
        <v>4010.2312799999995</v>
      </c>
      <c r="J28" t="s">
        <v>664</v>
      </c>
      <c r="M28">
        <v>1.1884935009588745E-3</v>
      </c>
      <c r="N28">
        <v>22.418315209887059</v>
      </c>
    </row>
    <row r="29" spans="1:14" x14ac:dyDescent="0.25">
      <c r="A29" t="s">
        <v>668</v>
      </c>
      <c r="B29">
        <v>2</v>
      </c>
      <c r="C29">
        <v>55</v>
      </c>
      <c r="D29" t="s">
        <v>669</v>
      </c>
      <c r="E29" t="s">
        <v>558</v>
      </c>
      <c r="F29">
        <v>500</v>
      </c>
      <c r="G29">
        <v>0.98</v>
      </c>
      <c r="H29">
        <v>0.77839335180055402</v>
      </c>
      <c r="I29">
        <v>14612.000000000002</v>
      </c>
      <c r="J29" t="s">
        <v>670</v>
      </c>
      <c r="K29">
        <v>5000</v>
      </c>
      <c r="L29">
        <v>0.99</v>
      </c>
      <c r="M29">
        <v>9.9041125079906236E-4</v>
      </c>
      <c r="N29">
        <v>18.681929341572552</v>
      </c>
    </row>
    <row r="30" spans="1:14" x14ac:dyDescent="0.25">
      <c r="A30" t="s">
        <v>671</v>
      </c>
      <c r="B30">
        <v>6</v>
      </c>
      <c r="C30">
        <v>56</v>
      </c>
      <c r="D30" t="s">
        <v>672</v>
      </c>
      <c r="E30" t="s">
        <v>673</v>
      </c>
      <c r="F30">
        <v>250</v>
      </c>
      <c r="G30">
        <v>0.99</v>
      </c>
      <c r="H30">
        <v>1.0071498742808438</v>
      </c>
      <c r="I30">
        <v>18906.21744</v>
      </c>
      <c r="J30" t="s">
        <v>674</v>
      </c>
      <c r="L30">
        <v>0.99</v>
      </c>
      <c r="M30">
        <v>1.8520690389942467E-3</v>
      </c>
      <c r="N30">
        <v>34.935207868740676</v>
      </c>
    </row>
    <row r="31" spans="1:14" x14ac:dyDescent="0.25">
      <c r="A31" s="6" t="s">
        <v>675</v>
      </c>
      <c r="B31" s="6">
        <v>6</v>
      </c>
      <c r="C31" s="6">
        <v>57</v>
      </c>
      <c r="D31" s="6" t="s">
        <v>676</v>
      </c>
      <c r="E31" s="6" t="s">
        <v>558</v>
      </c>
      <c r="F31" s="6">
        <v>2500</v>
      </c>
      <c r="G31" s="6">
        <v>0.99</v>
      </c>
      <c r="H31" s="6">
        <v>0.14331983805668014</v>
      </c>
      <c r="I31" s="6">
        <v>2690.3999999999996</v>
      </c>
      <c r="J31" s="6" t="s">
        <v>677</v>
      </c>
      <c r="K31" s="6"/>
      <c r="L31" s="6">
        <v>0.99</v>
      </c>
      <c r="M31" s="6">
        <v>6.3386320051139994E-4</v>
      </c>
      <c r="N31" s="6">
        <v>11.956434778606434</v>
      </c>
    </row>
    <row r="32" spans="1:14" x14ac:dyDescent="0.25">
      <c r="A32" s="4" t="s">
        <v>678</v>
      </c>
      <c r="B32" s="4"/>
      <c r="C32" s="4">
        <v>58</v>
      </c>
      <c r="D32" s="4" t="s">
        <v>679</v>
      </c>
      <c r="E32" s="4" t="s">
        <v>558</v>
      </c>
      <c r="F32" s="4">
        <v>500</v>
      </c>
      <c r="G32" s="4">
        <v>0.98</v>
      </c>
      <c r="H32" s="4">
        <v>0.70434689963775832</v>
      </c>
      <c r="I32" s="4">
        <v>13222</v>
      </c>
      <c r="J32" s="4" t="s">
        <v>680</v>
      </c>
      <c r="K32" s="4">
        <v>25000</v>
      </c>
      <c r="L32" s="4">
        <v>0.99</v>
      </c>
      <c r="M32" s="4">
        <v>4.2500000000000003E-3</v>
      </c>
      <c r="N32" s="4">
        <v>80.166899999999998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Syn_Param</vt:lpstr>
      <vt:lpstr>Solvent</vt:lpstr>
      <vt:lpstr>Metal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2025-09-22T00:47:49Z</dcterms:created>
  <dcterms:modified xsi:type="dcterms:W3CDTF">2026-02-11T13:55:17Z</dcterms:modified>
</cp:coreProperties>
</file>